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from Ocean" sheetId="1" r:id="rId5"/>
    <sheet state="visible" name="Tracking" sheetId="2" r:id="rId6"/>
    <sheet state="visible" name="Original Spreadsheet" sheetId="3" r:id="rId7"/>
    <sheet state="visible" name="Pivot Table 1" sheetId="4" r:id="rId8"/>
  </sheets>
  <definedNames>
    <definedName hidden="1" localSheetId="0" name="_xlnm._FilterDatabase">'Data from Ocean'!$A$4:$AA$234</definedName>
    <definedName hidden="1" localSheetId="2" name="_xlnm._FilterDatabase">'Original Spreadsheet'!$A$1:$T$50</definedName>
  </definedNames>
  <calcPr/>
  <pivotCaches>
    <pivotCache cacheId="0" r:id="rId9"/>
  </pivotCaches>
</workbook>
</file>

<file path=xl/sharedStrings.xml><?xml version="1.0" encoding="utf-8"?>
<sst xmlns="http://schemas.openxmlformats.org/spreadsheetml/2006/main" count="2296" uniqueCount="301">
  <si>
    <t>16 core blocks</t>
  </si>
  <si>
    <t>2 additional cores</t>
  </si>
  <si>
    <t>client_id</t>
  </si>
  <si>
    <t>company_name</t>
  </si>
  <si>
    <t>service_id</t>
  </si>
  <si>
    <t>service_status</t>
  </si>
  <si>
    <t>os</t>
  </si>
  <si>
    <t>component</t>
  </si>
  <si>
    <t>integer_key</t>
  </si>
  <si>
    <t>cad_mrc</t>
  </si>
  <si>
    <t>cores</t>
  </si>
  <si>
    <t>16 block</t>
  </si>
  <si>
    <t>2 core add-ons</t>
  </si>
  <si>
    <t>Total cost to aptum</t>
  </si>
  <si>
    <t>Compatible 8/9?</t>
  </si>
  <si>
    <t>AM</t>
  </si>
  <si>
    <t>Churning</t>
  </si>
  <si>
    <t>Outreach</t>
  </si>
  <si>
    <t>Discussion</t>
  </si>
  <si>
    <t>Notes</t>
  </si>
  <si>
    <t>Cody's Recommendation</t>
  </si>
  <si>
    <t>Cenovus Energy Inc.</t>
  </si>
  <si>
    <t>Online</t>
  </si>
  <si>
    <t>VMware ESXi 7.0</t>
  </si>
  <si>
    <t>Intel Xeon E5-2620 v3 2.4 GHz 6 Cores 12 Threads 8 GT/s (w H/T)</t>
  </si>
  <si>
    <t>Marko Andjelkovic</t>
  </si>
  <si>
    <t>Opportunity Created - CPQ Provided</t>
  </si>
  <si>
    <t>Currencies Direct Ltd</t>
  </si>
  <si>
    <t>VMware ESXi 6.0</t>
  </si>
  <si>
    <t>Intel Xeon E5-2630 v3 2.4 GHz 8-Core 16 Threads (w H/T)</t>
  </si>
  <si>
    <t>Jennifer Wilson</t>
  </si>
  <si>
    <t>x</t>
  </si>
  <si>
    <t>20-20 Technologies inc.</t>
  </si>
  <si>
    <t>Roland Gonzales</t>
  </si>
  <si>
    <t>No action</t>
  </si>
  <si>
    <t>Internet Edge Solutions Inc.</t>
  </si>
  <si>
    <t>10/6/25 sent recommendation for side-by-side migration to single CPU vHosts.  Wait for customer decision.</t>
  </si>
  <si>
    <t>ENTREGAS PUNTUALES S DE RL DE CV</t>
  </si>
  <si>
    <t>moved</t>
  </si>
  <si>
    <t>VMware ESXi 6.5</t>
  </si>
  <si>
    <t>Default Intel Xeon Silver 4110 2.1 GHz 8 Cores/16T (85W TDP)</t>
  </si>
  <si>
    <t>7,8</t>
  </si>
  <si>
    <t>Elizabeth Perez</t>
  </si>
  <si>
    <t>Done</t>
  </si>
  <si>
    <t>Migrating to newest version</t>
  </si>
  <si>
    <t>Intel Xeon 4110 or 4208 2.1 GHz 8 Cores/16T (85W TDP)</t>
  </si>
  <si>
    <t>Premia Solutions Limited</t>
  </si>
  <si>
    <t>Default Intel Xeon 4110/4208 2.1 GHz 8 Core/16T (85W TDP)</t>
  </si>
  <si>
    <t>Darren Wells</t>
  </si>
  <si>
    <t>Azure Migration</t>
  </si>
  <si>
    <t>Weekly</t>
  </si>
  <si>
    <t>Ongoing Azure Migration Project</t>
  </si>
  <si>
    <t>Interpro Technology Solutions Limited</t>
  </si>
  <si>
    <t>WinBack</t>
  </si>
  <si>
    <t>Churning?</t>
  </si>
  <si>
    <t>Services being cancelled</t>
  </si>
  <si>
    <t>VMware ESXi 8.0</t>
  </si>
  <si>
    <t>Nomad Digital Inc.</t>
  </si>
  <si>
    <t>ViOptix, Inc. - PO # 1357</t>
  </si>
  <si>
    <t>Roger Gonzales</t>
  </si>
  <si>
    <t>Working on a hw refresh that would address this</t>
  </si>
  <si>
    <t>BCOM 2000 HOLDINGS PTY LTD</t>
  </si>
  <si>
    <t>Chestnut Health System, Inc.</t>
  </si>
  <si>
    <t>Atlanta</t>
  </si>
  <si>
    <t>10/7 DD approved, reviewed side-by-side migration with Matt Winn.  He likes this approach for both MIA and ATL - sent him proposal.  He will review with Barb and get back to us on term.   10/6/25 waiting for DD approval for Miami and mirror in ATL - Gary confirmed there is enough resources to do in place upgrade</t>
  </si>
  <si>
    <t>Opportunity Created - waiting on Cody's recos</t>
  </si>
  <si>
    <t>Global Maritime Transportation Services, Inc.</t>
  </si>
  <si>
    <t>Currency Stream International Limited</t>
  </si>
  <si>
    <t>TAM Leading VMware project - Opp created</t>
  </si>
  <si>
    <t>Provision</t>
  </si>
  <si>
    <t>In Provision, see column D</t>
  </si>
  <si>
    <t>HYTECK, SA d/b/a AROMA ZONE</t>
  </si>
  <si>
    <t>Intel Xeon E5-2650 v4 2.2 GHz 12 Cores 24 Thrds 9.6 GT/s (w H/T)</t>
  </si>
  <si>
    <t>planned</t>
  </si>
  <si>
    <t>Service review call on 15th to discuss</t>
  </si>
  <si>
    <t>Blue Yonder Inc.</t>
  </si>
  <si>
    <t>Sean Small</t>
  </si>
  <si>
    <t>Combined Metal Industries Inc</t>
  </si>
  <si>
    <t>10/8 DCO approved, Sent order to customer  10/6/25 Customer confirmed they can cancel vHost02 as part of migration to Azure</t>
  </si>
  <si>
    <t>Intel Xeon E5-2670 v3 2.3 GHz 12 Cores 24 Threads 8 GT/s (w H/T)</t>
  </si>
  <si>
    <t>NO CHANGE at this time - will churn</t>
  </si>
  <si>
    <t>No Action</t>
  </si>
  <si>
    <t>Alaya Care Inc</t>
  </si>
  <si>
    <t>Default Intel Xeon Gold 5118 2.3 GHz 12 Cores 24/T (105W TDP)</t>
  </si>
  <si>
    <t>Waiting on information from the customer</t>
  </si>
  <si>
    <t>Enidus USA, LLC</t>
  </si>
  <si>
    <t>Intel Xeon Gold 5118 2.3 GHz 12 Cores 24/T (105W TDP)</t>
  </si>
  <si>
    <t>Leek United Building Society</t>
  </si>
  <si>
    <t>Migration</t>
  </si>
  <si>
    <t>Default Intel Xeon Gold 5118 2.3 GHz 12 Cores/ 24T (105W TDP)</t>
  </si>
  <si>
    <t>New 3Y Contract</t>
  </si>
  <si>
    <t>Server Refresh Migration Project</t>
  </si>
  <si>
    <t>Kinetico</t>
  </si>
  <si>
    <t>Netintegrity Inc</t>
  </si>
  <si>
    <t>10/10 customer approved 278891 - DCO to install - 10/6/25 Waiting customer to approve in place upgrade - order 278891</t>
  </si>
  <si>
    <t>Adam Matthew Digital</t>
  </si>
  <si>
    <t>At Risk</t>
  </si>
  <si>
    <t>Upgrade/Migration Discissions underway</t>
  </si>
  <si>
    <t>Star One Credit Union</t>
  </si>
  <si>
    <t>Steve Rioux</t>
  </si>
  <si>
    <t>Already known Churning</t>
  </si>
  <si>
    <t>Customer already provided concellation notice and will be offline October 31st, 2025</t>
  </si>
  <si>
    <t>Heilind Electronics, Inc.</t>
  </si>
  <si>
    <t>Better Impact Inc.</t>
  </si>
  <si>
    <t>Townsquare Media</t>
  </si>
  <si>
    <t>David Blankinship</t>
  </si>
  <si>
    <t>OrderID 278843, 278844</t>
  </si>
  <si>
    <t>RepoSystems.Com Inc.</t>
  </si>
  <si>
    <t>Transformify Ltd</t>
  </si>
  <si>
    <t>Order signed by customer</t>
  </si>
  <si>
    <t>dbridge inc.</t>
  </si>
  <si>
    <t>Nikon Instruments Inc.</t>
  </si>
  <si>
    <t>Intel Xeon Gold 5118 2.3 GHz 12 Cores/24T (105W TDP)</t>
  </si>
  <si>
    <t>eMetrix Systems, LLC</t>
  </si>
  <si>
    <t>Fermi Investments</t>
  </si>
  <si>
    <t>Opportunity created</t>
  </si>
  <si>
    <t>CITYWAY</t>
  </si>
  <si>
    <t>Working on refresh that would address this</t>
  </si>
  <si>
    <t>Vanquis</t>
  </si>
  <si>
    <t>VMw Migration</t>
  </si>
  <si>
    <t>VMware 7 to 8 Migration underway</t>
  </si>
  <si>
    <t>Supplier Solutions</t>
  </si>
  <si>
    <t>Intel Xeon E5-2683 v4 2.1 GHz 16 Cores 32 Threads 9.6GT/s (wH/T)</t>
  </si>
  <si>
    <t>Miami</t>
  </si>
  <si>
    <t>Granite REIT Holdings Limited Partnership</t>
  </si>
  <si>
    <t>Intel Xeon Gold 6130 2.1 GHz 16 Cores/32T (125W TDP)</t>
  </si>
  <si>
    <t xml:space="preserve">10/14 customer approved 278950, Roland submitted a ticket 10/8 DCO approved, sent order to customer  10/6/25 - waiting for DCO to approve order 278950. Gary confirmed that 1 x 16 core CPU can handle the full load, customer agreed to in-place upgrade, remove 1 CPU.  </t>
  </si>
  <si>
    <t>Intel Xeon Gold 5218 2.3 GHz 16 Cores/32T (125W TDP)</t>
  </si>
  <si>
    <t>Opportunity Created - CPQ provided</t>
  </si>
  <si>
    <t>Engage People Inc.</t>
  </si>
  <si>
    <t>Intel Xeon 5218 2.3 GHz 16 Cores/32T (125W TDP)</t>
  </si>
  <si>
    <t>10/2/25 Sales action COMPLETE.  Customer approved in place upgrade 278889, raised ticket to deploy</t>
  </si>
  <si>
    <t>Ministry of Education Jamaica</t>
  </si>
  <si>
    <t>Collins Trucking Company, Inc</t>
  </si>
  <si>
    <t>Arctrieval, Inc</t>
  </si>
  <si>
    <t>Default Intel Xeon Gold 6526Y 2.8 GHz 16 Cores/32T (195W TDP)</t>
  </si>
  <si>
    <t>7,8,9</t>
  </si>
  <si>
    <t>Intel Xeon Gold 6526Y 2.8 GHz 16 Cores/32T (195W TDP)</t>
  </si>
  <si>
    <t>New Services</t>
  </si>
  <si>
    <t>WeirFoulds LLP</t>
  </si>
  <si>
    <t>Intel Xeon Gold 6138 2.0 GHz 20 Cores/40T (125W TDP)</t>
  </si>
  <si>
    <t>10/14 order approved - ticket created - 10/8 waiting for customer to approve side-by-side migration, then prepare orders  10/6/25 waiting for DD to be approved for side by side migration.  Customer approved order 278888</t>
  </si>
  <si>
    <t>Chicken Farmers Of Ontario</t>
  </si>
  <si>
    <t>10/8 DCO approved, sent to customer for approval.  10/6/25 sent recommendation for side-by-side migration.  Once customer approves, Roland to create migration orders.  Gary Cox recommended side-by-side.  Not enough RAM for in-place</t>
  </si>
  <si>
    <t>Customer</t>
  </si>
  <si>
    <t>SF Opportunity</t>
  </si>
  <si>
    <t>GSE #</t>
  </si>
  <si>
    <t>CQP Link</t>
  </si>
  <si>
    <t>Status/Notes</t>
  </si>
  <si>
    <t>Ticket ID(s)</t>
  </si>
  <si>
    <t>https://aptum.lightning.force.com/lightning/r/006OF00000R18iLYAR/view</t>
  </si>
  <si>
    <t>Cenovus Energy Inc.xlsm</t>
  </si>
  <si>
    <t>Discussions with customer on how they want to proceed. Currently only have 1 Guest on their solution that they are using. 3 options with customer currently</t>
  </si>
  <si>
    <t>https://aptum.lightning.force.com/lightning/r/006OF00000R5QTsYAN/view</t>
  </si>
  <si>
    <t>New Servers Ordered for New Gear and ESXi 8</t>
  </si>
  <si>
    <t>CPQ sent to AM</t>
  </si>
  <si>
    <t>CPQ sent to AM. Options have been sent to the customer and Mike is working with them currently on which option to move forward with.</t>
  </si>
  <si>
    <t>https://aptum.lightning.force.com/lightning/r/006OF00000QUMCEYA5/view</t>
  </si>
  <si>
    <t>Hector</t>
  </si>
  <si>
    <t>https://aptum.atlassian.net/browse/APTUM-52322</t>
  </si>
  <si>
    <t>https://aptum.lightning.force.com/lightning/r/006OF00000QSb0rYAD/view</t>
  </si>
  <si>
    <t>Charles Rutledge</t>
  </si>
  <si>
    <t>https://aptum.atlassian.net/jira/servicedesk/projects/APTUM/queues/custom/852/APTUM-32273</t>
  </si>
  <si>
    <t>https://aptum.lightning.force.com/lightning/r/Opportunity/006OF00000MRrzhYAD/view</t>
  </si>
  <si>
    <t>Customer is migrating to 650xs-Hector</t>
  </si>
  <si>
    <t>https://aptum.atlassian.net/browse/APTUM-51667</t>
  </si>
  <si>
    <t>https://aptum.lightning.force.com/lightning/r/006OF00000R0yBAYAZ/view</t>
  </si>
  <si>
    <t>Waiting to hear back from the customer.</t>
  </si>
  <si>
    <t>https://aptum.lightning.force.com/lightning/r/006OF00000QjQx5YAF/view</t>
  </si>
  <si>
    <t>Steve has this in his list of things to do and will reach out to the customer again.</t>
  </si>
  <si>
    <t>https://aptum.lightning.force.com/lightning/r/006OF00000QTvAQYA1/view</t>
  </si>
  <si>
    <t>scheduling to upgrade to 8: Oct 5th; updated to V8 Completed</t>
  </si>
  <si>
    <t>https://aptum.atlassian.net/browse/APTUM-29283</t>
  </si>
  <si>
    <t>Churning end of October. Customer is not using the servers.</t>
  </si>
  <si>
    <t>https://aptum.lightning.force.com/lightning/r/006OF00000QSOJoYAP/view</t>
  </si>
  <si>
    <t>Internet Edge Solutions 1.xlsm</t>
  </si>
  <si>
    <t>CPQ sent to AM-Gary Cox completed-Jan 18th</t>
  </si>
  <si>
    <t>https://aptum.atlassian.net/browse/APTUM-38960</t>
  </si>
  <si>
    <t>https://aptum.lightning.force.com/lightning/r/Opportunity/006OF00000PKdJlYAL/view</t>
  </si>
  <si>
    <t>Currently migrating to latest version-Completed</t>
  </si>
  <si>
    <t>Churning during next 2 months</t>
  </si>
  <si>
    <t>Churning end of October</t>
  </si>
  <si>
    <t>https://aptum.lightning.force.com/lightning/r/006OF00000QToNTYA1/view</t>
  </si>
  <si>
    <t>Nomad Digital 1.xlsm</t>
  </si>
  <si>
    <t>Completed- Sam Messer-11/26</t>
  </si>
  <si>
    <t>https://aptum.atlassian.net/browse/APTUM-35440</t>
  </si>
  <si>
    <t>https://aptum.lightning.force.com/lightning/r/006OF00000QSGsYYAX/view
https://aptum.lightning.force.com/lightning/r/006OF00000QSXRvYAP/view</t>
  </si>
  <si>
    <t>Churning Toronto end of October. They're waiting to complete their existing term. Atlanta will stay online. Miami will stay online until the end of July. Toronto will continue to July, but keep two hosts in Toronto.</t>
  </si>
  <si>
    <t>https://aptum.lightning.force.com/lightning/r/006OF00000QUL4sYAH/view</t>
  </si>
  <si>
    <t xml:space="preserve">Justin- Completed Dec 11th. </t>
  </si>
  <si>
    <t>https://aptum.atlassian.net/browse/APTUM-36306</t>
  </si>
  <si>
    <t>https://aptum.lightning.force.com/lightning/r/006OF00000QTspGYAT/view</t>
  </si>
  <si>
    <t>Reached out to Jennifer regarding this one.</t>
  </si>
  <si>
    <t>https://aptum.lightning.force.com/lightning/r/Opportunity/006OF00000OZoHpYAL/view</t>
  </si>
  <si>
    <t>Is this order from June taking care of the situation at this customer?</t>
  </si>
  <si>
    <t>https://aptum.lightning.force.com/lightning/r/006OF00000QSQOrYAP/view</t>
  </si>
  <si>
    <t>Combined Metal 1.xlsm</t>
  </si>
  <si>
    <t>Churning during next 2 months. They're currently migrating to Azure</t>
  </si>
  <si>
    <t>https://aptum.lightning.force.com/lightning/r/006OF00000R152xYAB/view</t>
  </si>
  <si>
    <t>Scheduling to upgrade to 8: Oct 5th; updated to V8 completed</t>
  </si>
  <si>
    <t>APTUM-29282</t>
  </si>
  <si>
    <t>https://aptum.lightning.force.com/lightning/r/Opportunity/006OF00000HTOQBYA5/view</t>
  </si>
  <si>
    <t>Covered under that opportunity- Completed-Will</t>
  </si>
  <si>
    <t>https://aptum.lightning.force.com/lightning/r/006OF00000QUGpyYAH/view</t>
  </si>
  <si>
    <t>Kinetico - ATL.xlsm
https://disks.sharepoint.com/:x:/r/sites/GSESalesEngagement/Shared%20Documents/GSE%20Requests/%5BGSE-201%5D%20Kinetico%20Incorporated%20(d/Kinetico%20-%20POR.xlsm?d=w4d75ac7fa12e48aab00f395d9b9b5a7a&amp;csf=1&amp;web=1&amp;e=DqHcuU</t>
  </si>
  <si>
    <t>Gary Cox-POR done, Atl  completed</t>
  </si>
  <si>
    <t>https://aptum.atlassian.net/browse/APTUM-37165</t>
  </si>
  <si>
    <t>https://aptum.lightning.force.com/lightning/r/006OF00000QirEYYAZ/view</t>
  </si>
  <si>
    <t>Justin-waiting on vcenter provision-Completed-02-01</t>
  </si>
  <si>
    <t>APTUM-38068</t>
  </si>
  <si>
    <t>https://aptum.lightning.force.com/lightning/r/006OF00000QjVyPYAV/view</t>
  </si>
  <si>
    <t>https://aptum.lightning.force.com/lightning/r/006OF00000QU6QsYAL/view</t>
  </si>
  <si>
    <t>This will be an Inplace Upgrade-Gary Cox-Completed-01-23</t>
  </si>
  <si>
    <t>https://aptum.atlassian.net/browse/APTUM-40519</t>
  </si>
  <si>
    <t>https://aptum.lightning.force.com/lightning/r/Opportunity/006OF00000QUHAvYAP/view</t>
  </si>
  <si>
    <t>OrderID 278843, 278844-Chris Templeman, Scheduled Nov 30th-Completed</t>
  </si>
  <si>
    <t>APTUM-28930</t>
  </si>
  <si>
    <t>https://aptum.lightning.force.com/lightning/r/006OF00000QUMQlYAP/view</t>
  </si>
  <si>
    <t>CPQ sent to AM-Gary Cox-Completed-Jan 11th</t>
  </si>
  <si>
    <t>https://aptum.atlassian.net/browse/APTUM-39965</t>
  </si>
  <si>
    <t>https://aptum.lightning.force.com/lightning/r/006OF00000QTt8dYAD/view</t>
  </si>
  <si>
    <t>Will Mariner-Completed=Oct 24th</t>
  </si>
  <si>
    <t>https://aptum.atlassian.net/jira/servicedesk/projects/APTUM/queues/custom/852/APTUM-32486</t>
  </si>
  <si>
    <t>https://aptum.lightning.force.com/lightning/r/006OF00000QULzJYAX/view</t>
  </si>
  <si>
    <t>https://aptum.atlassian.net/browse/APTUM-39946</t>
  </si>
  <si>
    <t>https://aptum.lightning.force.com/lightning/r/006OF00000QTechYAD/view</t>
  </si>
  <si>
    <t>https://aptum.lightning.force.com/lightning/r/Opportunity/006OF00000PZWkzYAH/view</t>
  </si>
  <si>
    <t>https://aptum.lightning.force.com/lightning/r/Opportunity/006OF00000PFwN4YAL/view</t>
  </si>
  <si>
    <t>In process-Chris Templeman-Done</t>
  </si>
  <si>
    <t>https://aptum.lightning.force.com/lightning/r/Opportunity/006OF00000PmB62YAF/view</t>
  </si>
  <si>
    <t>Already on 8.  Working on a refresh (larger solution)</t>
  </si>
  <si>
    <t>https://aptum.lightning.force.com/lightning/r/006OF00000QSbGzYAL/view</t>
  </si>
  <si>
    <t>Gary Cox-completed 10-31-2025</t>
  </si>
  <si>
    <t>https://aptum.atlassian.net/jira/servicedesk/projects/APTUM/queues/custom/852/APTUM-32364</t>
  </si>
  <si>
    <t>https://aptum.lightning.force.com/lightning/r/006OF00000QSZS8YAP/view</t>
  </si>
  <si>
    <t xml:space="preserve">Hector Iriarte-Complete-upgraded to 8. </t>
  </si>
  <si>
    <t>https://aptum.lightning.force.com/lightning/r/006OF00000QUBLiYAP/view</t>
  </si>
  <si>
    <t>In place upgrade-Completed-Gary Cox</t>
  </si>
  <si>
    <t>https://aptum.atlassian.net/browse/APTUM-40169</t>
  </si>
  <si>
    <t>https://aptum.lightning.force.com/lightning/r/006OF00000QjfcjYAB/view</t>
  </si>
  <si>
    <t xml:space="preserve">CPQ sent to AM - Have not heard back from the customer as of yet. </t>
  </si>
  <si>
    <t>This has been upgraded already.</t>
  </si>
  <si>
    <t>https://aptum.lightning.force.com/lightning/r/006OF00000QST06YAH/view</t>
  </si>
  <si>
    <t xml:space="preserve">Leaving due to Price increases and cost. </t>
  </si>
  <si>
    <t>https://aptum.lightning.force.com/lightning/r/006OF00000QSVRjYAP/view</t>
  </si>
  <si>
    <t>Hector/Justin- Completed 01-25</t>
  </si>
  <si>
    <t>https://aptum.atlassian.net/browse/APTUM-36302</t>
  </si>
  <si>
    <t>Client ID</t>
  </si>
  <si>
    <t>Company Name</t>
  </si>
  <si>
    <t>Account Manager</t>
  </si>
  <si>
    <t>TAM</t>
  </si>
  <si>
    <t>Customer Current Total MRC (CAD)</t>
  </si>
  <si>
    <t>Estimated New Total MRC (CAD)</t>
  </si>
  <si>
    <t>Number of vHosts</t>
  </si>
  <si>
    <t>Total Licensable Memory</t>
  </si>
  <si>
    <t>Total Licensable Cores</t>
  </si>
  <si>
    <t>Old Per GB RAM Licensing (CAD)</t>
  </si>
  <si>
    <t>New Per Core Licensing (CAD)</t>
  </si>
  <si>
    <t>vHosts MRC (CAD)</t>
  </si>
  <si>
    <t>New vHosts MRC (CAD)</t>
  </si>
  <si>
    <t>% Change vHosts</t>
  </si>
  <si>
    <t>% Change Total Customer</t>
  </si>
  <si>
    <t>Customer Group</t>
  </si>
  <si>
    <t>Under Contract</t>
  </si>
  <si>
    <t>Increase Restricted</t>
  </si>
  <si>
    <t>Increase Effective Date</t>
  </si>
  <si>
    <t>NULL</t>
  </si>
  <si>
    <t>Not Top 200</t>
  </si>
  <si>
    <t>No</t>
  </si>
  <si>
    <t>Yes</t>
  </si>
  <si>
    <t>Blue Cow Software</t>
  </si>
  <si>
    <t>Baring Vostok Capital Partners Limited</t>
  </si>
  <si>
    <t>Top 200</t>
  </si>
  <si>
    <t>FTT GLOBAL LIMITED</t>
  </si>
  <si>
    <t>Michael Julier</t>
  </si>
  <si>
    <t>TAB Products</t>
  </si>
  <si>
    <t>DCSalesOPS</t>
  </si>
  <si>
    <t>CoffeeCup Software</t>
  </si>
  <si>
    <t>Be the brand experience</t>
  </si>
  <si>
    <t>Checkout Technology Limited</t>
  </si>
  <si>
    <t>Christopher Prance</t>
  </si>
  <si>
    <t>Dallas Hall</t>
  </si>
  <si>
    <t>Dods Group Limited</t>
  </si>
  <si>
    <t>Crealogix MBA Limited</t>
  </si>
  <si>
    <t>StraighterLine, Inc.</t>
  </si>
  <si>
    <t>TBD</t>
  </si>
  <si>
    <t>Centro Internacional de Mejoramiento de Maíz y Trigo</t>
  </si>
  <si>
    <t>Client name</t>
  </si>
  <si>
    <t>COUNT of service_id</t>
  </si>
  <si>
    <t>SUM of cores</t>
  </si>
  <si>
    <t>SUM of 16 block</t>
  </si>
  <si>
    <t>SUM of 2 core add-ons</t>
  </si>
  <si>
    <t>SUM of Total cost to aptum</t>
  </si>
  <si>
    <t>Old RAM $ CAD</t>
  </si>
  <si>
    <t>New Ron Core $ Cad</t>
  </si>
  <si>
    <t>Total HW MRC CAD</t>
  </si>
  <si>
    <t>Delta of JUST VMWare</t>
  </si>
  <si>
    <t>% Delta</t>
  </si>
  <si>
    <t>% Delta of Total</t>
  </si>
  <si>
    <t>Compatable</t>
  </si>
  <si>
    <t>Grand 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</si>
</sst>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d-mmmm"/>
    <numFmt numFmtId="166" formatCode="&quot;$&quot;#,##0"/>
  </numFmts>
  <fonts count="8">
    <font>
      <sz val="10.0"/>
      <color rgb="FF000000"/>
      <name val="Arial"/>
      <scheme val="minor"/>
    </font>
    <font>
      <color theme="1"/>
      <name val="Arial"/>
      <scheme val="minor"/>
    </font>
    <font>
      <b/>
      <color theme="1"/>
      <name val="Arial"/>
      <scheme val="minor"/>
    </font>
    <font>
      <u/>
      <color rgb="FF0000FF"/>
    </font>
    <font>
      <u/>
      <color rgb="FF0000FF"/>
    </font>
    <font>
      <u/>
      <color rgb="FF1155CC"/>
      <name val="Arial"/>
      <scheme val="minor"/>
    </font>
    <font>
      <u/>
      <color rgb="FF1155CC"/>
    </font>
    <font>
      <sz val="11.0"/>
      <color rgb="FF000000"/>
      <name val="Calibri"/>
    </font>
  </fonts>
  <fills count="8">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1155CC"/>
        <bgColor rgb="FF1155CC"/>
      </patternFill>
    </fill>
    <fill>
      <patternFill patternType="solid">
        <fgColor rgb="FFFF9900"/>
        <bgColor rgb="FFFF9900"/>
      </patternFill>
    </fill>
    <fill>
      <patternFill patternType="solid">
        <fgColor rgb="FFFFFF00"/>
        <bgColor rgb="FFFFFF00"/>
      </patternFill>
    </fill>
    <fill>
      <patternFill patternType="solid">
        <fgColor rgb="FFEAD1DC"/>
        <bgColor rgb="FFEAD1DC"/>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164" xfId="0" applyFont="1" applyNumberFormat="1"/>
    <xf borderId="0" fillId="0" fontId="1" numFmtId="0" xfId="0" applyAlignment="1" applyFont="1">
      <alignment horizontal="right"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4" numFmtId="0" xfId="0" applyAlignment="1" applyFont="1">
      <alignment readingOrder="0"/>
    </xf>
    <xf borderId="0" fillId="2" fontId="1" numFmtId="0" xfId="0" applyAlignment="1" applyFill="1" applyFont="1">
      <alignment readingOrder="0" shrinkToFit="0" wrapText="1"/>
    </xf>
    <xf borderId="0" fillId="2" fontId="1" numFmtId="0" xfId="0" applyAlignment="1" applyFont="1">
      <alignment readingOrder="0"/>
    </xf>
    <xf borderId="0" fillId="3" fontId="1" numFmtId="0" xfId="0" applyFill="1" applyFont="1"/>
    <xf borderId="0" fillId="4" fontId="2"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0" fontId="5" numFmtId="0" xfId="0" applyAlignment="1" applyFont="1">
      <alignment readingOrder="0"/>
    </xf>
    <xf borderId="0" fillId="0" fontId="6" numFmtId="0" xfId="0" applyAlignment="1" applyFont="1">
      <alignment readingOrder="0"/>
    </xf>
    <xf borderId="0" fillId="3" fontId="1"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horizontal="center" readingOrder="0" shrinkToFit="0" vertical="bottom" wrapText="0"/>
    </xf>
    <xf borderId="0" fillId="0" fontId="7" numFmtId="0" xfId="0" applyAlignment="1" applyFont="1">
      <alignment horizontal="right" readingOrder="0" shrinkToFit="0" vertical="bottom" wrapText="0"/>
    </xf>
    <xf borderId="0" fillId="0" fontId="7" numFmtId="164" xfId="0" applyAlignment="1" applyFont="1" applyNumberFormat="1">
      <alignment horizontal="right" readingOrder="0" shrinkToFit="0" vertical="bottom" wrapText="0"/>
    </xf>
    <xf borderId="0" fillId="0" fontId="7" numFmtId="165" xfId="0" applyAlignment="1" applyFont="1" applyNumberFormat="1">
      <alignment horizontal="center" readingOrder="0" shrinkToFit="0" vertical="bottom" wrapText="0"/>
    </xf>
    <xf borderId="0" fillId="7" fontId="7" numFmtId="0" xfId="0" applyAlignment="1" applyFill="1" applyFont="1">
      <alignment readingOrder="0" shrinkToFit="0" vertical="bottom" wrapText="0"/>
    </xf>
    <xf borderId="0" fillId="0" fontId="1" numFmtId="166" xfId="0" applyAlignment="1" applyFont="1" applyNumberFormat="1">
      <alignment horizontal="right" readingOrder="0"/>
    </xf>
    <xf borderId="0" fillId="0" fontId="1" numFmtId="10" xfId="0" applyAlignment="1" applyFont="1" applyNumberFormat="1">
      <alignment horizontal="right" readingOrder="0"/>
    </xf>
    <xf borderId="0" fillId="0" fontId="1" numFmtId="166" xfId="0" applyAlignment="1" applyFont="1" applyNumberFormat="1">
      <alignment horizontal="right"/>
    </xf>
    <xf borderId="0" fillId="0" fontId="1" numFmtId="10" xfId="0" applyAlignment="1" applyFont="1" applyNumberFormat="1">
      <alignment horizontal="right"/>
    </xf>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L234" sheet="Data from Ocean"/>
  </cacheSource>
  <cacheFields>
    <cacheField name="client_id" numFmtId="0">
      <sharedItems containsSemiMixedTypes="0" containsString="0" containsNumber="1" containsInteger="1">
        <n v="7007654.0"/>
        <n v="7012926.0"/>
        <n v="7013453.0"/>
        <n v="1000343.0"/>
        <n v="7003351.0"/>
        <n v="7008621.0"/>
        <n v="7015128.0"/>
        <n v="7007499.0"/>
        <n v="5960514.0"/>
        <n v="7014318.0"/>
        <n v="7014791.0"/>
        <n v="5711523.0"/>
        <n v="7014870.0"/>
        <n v="7014638.0"/>
        <n v="7006911.0"/>
        <n v="7014682.0"/>
        <n v="7036572.0"/>
        <n v="7000167.0"/>
        <n v="7014917.0"/>
        <n v="5401567.0"/>
        <n v="7011090.0"/>
        <n v="7002412.0"/>
        <n v="7013249.0"/>
        <n v="7014042.0"/>
        <n v="7008227.0"/>
        <n v="7009847.0"/>
        <n v="6131312.0"/>
        <n v="7014933.0"/>
        <n v="5573207.0"/>
        <n v="5636208.0"/>
        <n v="7014317.0"/>
        <n v="7010154.0"/>
        <n v="7012728.0"/>
        <n v="7009655.0"/>
        <n v="5759510.0"/>
        <n v="7014524.0"/>
        <n v="7002328.0"/>
        <n v="7013099.0"/>
        <n v="7014601.0"/>
        <n v="7000559.0"/>
        <n v="7015138.0"/>
        <n v="7014786.0"/>
      </sharedItems>
    </cacheField>
    <cacheField name="company_name" numFmtId="0">
      <sharedItems>
        <s v="Cenovus Energy Inc."/>
        <s v="Currencies Direct Ltd"/>
        <s v="20-20 Technologies inc."/>
        <s v="Internet Edge Solutions Inc."/>
        <s v="ENTREGAS PUNTUALES S DE RL DE CV"/>
        <s v="Premia Solutions Limited"/>
        <s v="Interpro Technology Solutions Limited"/>
        <s v="Nomad Digital Inc."/>
        <s v="ViOptix, Inc. - PO # 1357"/>
        <s v="BCOM 2000 HOLDINGS PTY LTD"/>
        <s v="Chestnut Health System, Inc."/>
        <s v="Global Maritime Transportation Services, Inc."/>
        <s v="Currency Stream International Limited"/>
        <s v="HYTECK, SA d/b/a AROMA ZONE"/>
        <s v="Blue Yonder Inc."/>
        <s v="Combined Metal Industries Inc"/>
        <s v="Alaya Care Inc"/>
        <s v="Enidus USA, LLC"/>
        <s v="Leek United Building Society"/>
        <s v="Kinetico"/>
        <s v="Netintegrity Inc"/>
        <s v="Adam Matthew Digital"/>
        <s v="Star One Credit Union"/>
        <s v="Heilind Electronics, Inc."/>
        <s v="Better Impact Inc."/>
        <s v="Townsquare Media"/>
        <s v="RepoSystems.Com Inc."/>
        <s v="Transformify Ltd"/>
        <s v="dbridge inc."/>
        <s v="Nikon Instruments Inc."/>
        <s v="eMetrix Systems, LLC"/>
        <s v="Fermi Investments"/>
        <s v="CITYWAY"/>
        <s v="Vanquis"/>
        <s v="Supplier Solutions"/>
        <s v="Granite REIT Holdings Limited Partnership"/>
        <s v="Engage People Inc."/>
        <s v="Ministry of Education Jamaica"/>
        <s v="Collins Trucking Company, Inc"/>
        <s v="Arctrieval, Inc"/>
        <s v="WeirFoulds LLP"/>
        <s v="Chicken Farmers Of Ontario"/>
      </sharedItems>
    </cacheField>
    <cacheField name="service_id" numFmtId="0">
      <sharedItems containsSemiMixedTypes="0" containsString="0" containsNumber="1" containsInteger="1">
        <n v="7516745.0"/>
        <n v="7516746.0"/>
        <n v="4968897.0"/>
        <n v="4968898.0"/>
        <n v="7337052.0"/>
        <n v="7337053.0"/>
        <n v="7524554.0"/>
        <n v="7524555.0"/>
        <n v="6229696.0"/>
        <n v="6819536.0"/>
        <n v="6819537.0"/>
        <n v="6819554.0"/>
        <n v="6819555.0"/>
        <n v="7290376.0"/>
        <n v="7290377.0"/>
        <n v="7337070.0"/>
        <n v="7337071.0"/>
        <n v="7456977.0"/>
        <n v="7730302.0"/>
        <n v="7730303.0"/>
        <n v="7750604.0"/>
        <n v="7750605.0"/>
        <n v="7750639.0"/>
        <n v="7750640.0"/>
        <n v="7931593.0"/>
        <n v="6483387.0"/>
        <n v="6483388.0"/>
        <n v="6483389.0"/>
        <n v="7297762.0"/>
        <n v="7297763.0"/>
        <n v="7297764.0"/>
        <n v="7297766.0"/>
        <n v="7337256.0"/>
        <n v="7337257.0"/>
        <n v="7848726.0"/>
        <n v="7848727.0"/>
        <n v="5643824.0"/>
        <n v="5643830.0"/>
        <n v="6096495.0"/>
        <n v="6411959.0"/>
        <n v="6411960.0"/>
        <n v="6411961.0"/>
        <n v="6411962.0"/>
        <n v="6464705.0"/>
        <n v="6464706.0"/>
        <n v="6465016.0"/>
        <n v="6465017.0"/>
        <n v="7023229.0"/>
        <n v="7023230.0"/>
        <n v="7244266.0"/>
        <n v="7244268.0"/>
        <n v="7244273.0"/>
        <n v="7244274.0"/>
        <n v="7255960.0"/>
        <n v="7255961.0"/>
        <n v="7255962.0"/>
        <n v="7286154.0"/>
        <n v="7286155.0"/>
        <n v="7286156.0"/>
        <n v="7287595.0"/>
        <n v="7287597.0"/>
        <n v="7306541.0"/>
        <n v="7306542.0"/>
        <n v="7306543.0"/>
        <n v="7306616.0"/>
        <n v="7306617.0"/>
        <n v="7337220.0"/>
        <n v="7337457.0"/>
        <n v="7337463.0"/>
        <n v="7337466.0"/>
        <n v="7337468.0"/>
        <n v="7364930.0"/>
        <n v="7429475.0"/>
        <n v="7432251.0"/>
        <n v="7432252.0"/>
        <n v="7433682.0"/>
        <n v="7444141.0"/>
        <n v="7449036.0"/>
        <n v="7538506.0"/>
        <n v="7538507.0"/>
        <n v="7539557.0"/>
        <n v="7543962.0"/>
        <n v="7560002.0"/>
        <n v="7667907.0"/>
        <n v="7777030.0"/>
        <n v="7777031.0"/>
        <n v="7777037.0"/>
        <n v="7777051.0"/>
        <n v="7848428.0"/>
        <n v="7848429.0"/>
        <n v="7848529.0"/>
        <n v="7848533.0"/>
        <n v="7848536.0"/>
        <n v="7256345.0"/>
        <n v="7256346.0"/>
        <n v="7076465.0"/>
        <n v="7444474.0"/>
        <n v="7484047.0"/>
        <n v="7484049.0"/>
        <n v="7484051.0"/>
        <n v="7656572.0"/>
        <n v="7656576.0"/>
        <n v="7687200.0"/>
        <n v="7756978.0"/>
        <n v="7756979.0"/>
        <n v="7925415.0"/>
        <n v="7925417.0"/>
        <n v="7929540.0"/>
        <n v="7930869.0"/>
        <n v="7930870.0"/>
        <n v="7930871.0"/>
        <n v="7930872.0"/>
        <n v="7930874.0"/>
        <n v="7930875.0"/>
        <n v="7930876.0"/>
        <n v="6821914.0"/>
        <n v="6821938.0"/>
        <n v="6821995.0"/>
        <n v="6821996.0"/>
        <n v="7580232.0"/>
        <n v="7580237.0"/>
        <n v="7580238.0"/>
      </sharedItems>
    </cacheField>
    <cacheField name="service_status" numFmtId="0">
      <sharedItems>
        <s v="Online"/>
        <s v="moved"/>
        <s v="WinBack"/>
        <s v="Provision"/>
        <s v="Migration"/>
      </sharedItems>
    </cacheField>
    <cacheField name="os" numFmtId="0">
      <sharedItems>
        <s v="VMware ESXi 7.0"/>
        <s v="VMware ESXi 6.0"/>
        <s v="VMware ESXi 6.5"/>
        <s v="VMware ESXi 8.0"/>
      </sharedItems>
    </cacheField>
    <cacheField name="component" numFmtId="0">
      <sharedItems>
        <s v="Intel Xeon E5-2620 v3 2.4 GHz 6 Cores 12 Threads 8 GT/s (w H/T)"/>
        <s v="Intel Xeon E5-2630 v3 2.4 GHz 8-Core 16 Threads (w H/T)"/>
        <s v="Default Intel Xeon Silver 4110 2.1 GHz 8 Cores/16T (85W TDP)"/>
        <s v="Intel Xeon 4110 or 4208 2.1 GHz 8 Cores/16T (85W TDP)"/>
        <s v="Default Intel Xeon 4110/4208 2.1 GHz 8 Core/16T (85W TDP)"/>
        <s v="Intel Xeon E5-2650 v4 2.2 GHz 12 Cores 24 Thrds 9.6 GT/s (w H/T)"/>
        <s v="Intel Xeon E5-2670 v3 2.3 GHz 12 Cores 24 Threads 8 GT/s (w H/T)"/>
        <s v="Default Intel Xeon Gold 5118 2.3 GHz 12 Cores 24/T (105W TDP)"/>
        <s v="Intel Xeon Gold 5118 2.3 GHz 12 Cores 24/T (105W TDP)"/>
        <s v="Default Intel Xeon Gold 5118 2.3 GHz 12 Cores/ 24T (105W TDP)"/>
        <s v="Intel Xeon Gold 5118 2.3 GHz 12 Cores/24T (105W TDP)"/>
        <s v="Intel Xeon E5-2683 v4 2.1 GHz 16 Cores 32 Threads 9.6GT/s (wH/T)"/>
        <s v="Intel Xeon Gold 6130 2.1 GHz 16 Cores/32T (125W TDP)"/>
        <s v="Intel Xeon Gold 5218 2.3 GHz 16 Cores/32T (125W TDP)"/>
        <s v="Intel Xeon 5218 2.3 GHz 16 Cores/32T (125W TDP)"/>
        <s v="Default Intel Xeon Gold 6526Y 2.8 GHz 16 Cores/32T (195W TDP)"/>
        <s v="Intel Xeon Gold 6526Y 2.8 GHz 16 Cores/32T (195W TDP)"/>
        <s v="Intel Xeon Gold 6138 2.0 GHz 20 Cores/40T (125W TDP)"/>
      </sharedItems>
    </cacheField>
    <cacheField name="integer_key" numFmtId="0">
      <sharedItems containsSemiMixedTypes="0" containsString="0" containsNumber="1" containsInteger="1">
        <n v="3.8746789E7"/>
        <n v="3.874679E7"/>
        <n v="3.8746809E7"/>
        <n v="3.874681E7"/>
        <n v="1.471044E7"/>
        <n v="1.4710441E7"/>
        <n v="1.4710466E7"/>
        <n v="1.4710467E7"/>
        <n v="3.6777479E7"/>
        <n v="3.677748E7"/>
        <n v="3.6777503E7"/>
        <n v="3.6777504E7"/>
        <n v="3.8863703E7"/>
        <n v="3.8863704E7"/>
        <n v="3.8863722E7"/>
        <n v="3.8863723E7"/>
        <n v="2.606542E7"/>
        <n v="3.9308698E7"/>
        <n v="3.1059001E7"/>
        <n v="3.1059006E7"/>
        <n v="3.1059024E7"/>
        <n v="3.1059029E7"/>
        <n v="3.1061538E7"/>
        <n v="3.1061555E7"/>
        <n v="3.106157E7"/>
        <n v="3.1061587E7"/>
        <n v="3.6125133E7"/>
        <n v="3.6125163E7"/>
        <n v="3.6777581E7"/>
        <n v="3.677761E7"/>
        <n v="3.7851619E7"/>
        <n v="3.7851631E7"/>
        <n v="4.2189459E7"/>
        <n v="4.2189463E7"/>
        <n v="4.2189482E7"/>
        <n v="4.2189486E7"/>
        <n v="4.2498421E7"/>
        <n v="4.2498422E7"/>
        <n v="4.2498441E7"/>
        <n v="4.2498442E7"/>
        <n v="4.2503462E7"/>
        <n v="4.2503467E7"/>
        <n v="4.2503487E7"/>
        <n v="4.2503492E7"/>
        <n v="4.3708238E7"/>
        <n v="2.8132866E7"/>
        <n v="2.8132867E7"/>
        <n v="2.813289E7"/>
        <n v="2.8132891E7"/>
        <n v="2.8132914E7"/>
        <n v="2.8132915E7"/>
        <n v="3.6133208E7"/>
        <n v="3.6133209E7"/>
        <n v="3.6133236E7"/>
        <n v="3.6133237E7"/>
        <n v="3.6133264E7"/>
        <n v="3.6133265E7"/>
        <n v="3.6133294E7"/>
        <n v="3.6133295E7"/>
        <n v="3.6780901E7"/>
        <n v="3.6780902E7"/>
        <n v="3.6780926E7"/>
        <n v="3.6780927E7"/>
        <n v="4.3246101E7"/>
        <n v="4.3246102E7"/>
        <n v="4.3246122E7"/>
        <n v="4.3246123E7"/>
        <n v="2.1319E7"/>
        <n v="2.1319001E7"/>
        <n v="2.1319124E7"/>
        <n v="2.1319125E7"/>
        <n v="2.5470269E7"/>
        <n v="2.547027E7"/>
        <n v="2.7534257E7"/>
        <n v="2.7534258E7"/>
        <n v="2.7534287E7"/>
        <n v="2.7534288E7"/>
        <n v="2.7534317E7"/>
        <n v="2.7534318E7"/>
        <n v="2.7534347E7"/>
        <n v="2.7534348E7"/>
        <n v="2.7831289E7"/>
        <n v="2.783129E7"/>
        <n v="2.7831316E7"/>
        <n v="2.7831317E7"/>
        <n v="2.783328E7"/>
        <n v="2.7833281E7"/>
        <n v="2.783332E7"/>
        <n v="2.7833321E7"/>
        <n v="3.3422705E7"/>
        <n v="3.3422706E7"/>
        <n v="3.3422736E7"/>
        <n v="3.3422737E7"/>
        <n v="3.4967312E7"/>
        <n v="3.4967313E7"/>
        <n v="3.4967344E7"/>
        <n v="3.4967345E7"/>
        <n v="3.4967396E7"/>
        <n v="3.4967397E7"/>
        <n v="3.4967427E7"/>
        <n v="3.4967428E7"/>
        <n v="3.5277948E7"/>
        <n v="3.5277949E7"/>
        <n v="3.5277969E7"/>
        <n v="3.527797E7"/>
        <n v="3.527799E7"/>
        <n v="3.5277991E7"/>
        <n v="3.608563E7"/>
        <n v="3.6085631E7"/>
        <n v="3.6085661E7"/>
        <n v="3.6085662E7"/>
        <n v="3.6085692E7"/>
        <n v="3.6085693E7"/>
        <n v="3.6122724E7"/>
        <n v="3.6122725E7"/>
        <n v="3.6122758E7"/>
        <n v="3.6122759E7"/>
        <n v="3.6277268E7"/>
        <n v="3.6277269E7"/>
        <n v="3.6277296E7"/>
        <n v="3.6277297E7"/>
        <n v="3.6277324E7"/>
        <n v="3.6277325E7"/>
        <n v="3.6278497E7"/>
        <n v="3.6278498E7"/>
        <n v="3.6278525E7"/>
        <n v="3.6278526E7"/>
        <n v="3.6777794E7"/>
        <n v="3.6777795E7"/>
        <n v="3.6782408E7"/>
        <n v="3.6782409E7"/>
        <n v="3.6782455E7"/>
        <n v="3.6782456E7"/>
        <n v="3.6782489E7"/>
        <n v="3.678249E7"/>
        <n v="3.6782514E7"/>
        <n v="3.6782515E7"/>
        <n v="3.6843077E7"/>
        <n v="3.6843078E7"/>
        <n v="3.7500008E7"/>
        <n v="3.7500009E7"/>
        <n v="3.7529593E7"/>
        <n v="3.7529594E7"/>
        <n v="3.7529621E7"/>
        <n v="3.7529622E7"/>
        <n v="3.7544899E7"/>
        <n v="3.75449E7"/>
        <n v="3.765634E7"/>
        <n v="3.7729074E7"/>
        <n v="3.7729075E7"/>
        <n v="3.9072824E7"/>
        <n v="3.9072848E7"/>
        <n v="3.9088568E7"/>
        <n v="3.9154635E7"/>
        <n v="3.9154636E7"/>
        <n v="3.9395181E7"/>
        <n v="3.9395182E7"/>
        <n v="4.1086311E7"/>
        <n v="4.1086312E7"/>
        <n v="4.2594259E7"/>
        <n v="4.259426E7"/>
        <n v="4.259428E7"/>
        <n v="4.2594281E7"/>
        <n v="4.2594321E7"/>
        <n v="4.2594322E7"/>
        <n v="4.2594388E7"/>
        <n v="4.2594389E7"/>
        <n v="4.3172268E7"/>
        <n v="4.3172269E7"/>
        <n v="4.3172292E7"/>
        <n v="4.3172293E7"/>
        <n v="4.3178779E7"/>
        <n v="4.317878E7"/>
        <n v="4.3178805E7"/>
        <n v="4.3178806E7"/>
        <n v="4.3178832E7"/>
        <n v="4.3178833E7"/>
        <n v="3.5288052E7"/>
        <n v="3.5288053E7"/>
        <n v="3.5288089E7"/>
        <n v="3.528809E7"/>
        <n v="3.3998607E7"/>
        <n v="3.3998608E7"/>
        <n v="3.6125144E7"/>
        <n v="3.6125145E7"/>
        <n v="3.6125174E7"/>
        <n v="3.6125175E7"/>
        <n v="3.7660739E7"/>
        <n v="3.766074E7"/>
        <n v="4.3630843E7"/>
        <n v="3.8257162E7"/>
        <n v="3.8257185E7"/>
        <n v="4.3630837E7"/>
        <n v="3.8257213E7"/>
        <n v="4.3630839E7"/>
        <n v="4.360533E7"/>
        <n v="4.3605331E7"/>
        <n v="4.3605334E7"/>
        <n v="4.3605335E7"/>
        <n v="4.1471539E7"/>
        <n v="4.3630841E7"/>
        <n v="4.253342E7"/>
        <n v="4.2533421E7"/>
        <n v="4.2533443E7"/>
        <n v="4.2533444E7"/>
        <n v="4.3663663E7"/>
        <n v="4.3663689E7"/>
        <n v="4.3667912E7"/>
        <n v="4.3667913E7"/>
        <n v="4.3694041E7"/>
        <n v="4.3694064E7"/>
        <n v="4.3694087E7"/>
        <n v="4.369411E7"/>
        <n v="4.3694147E7"/>
        <n v="4.369417E7"/>
        <n v="4.3694193E7"/>
        <n v="3.1074962E7"/>
        <n v="3.1074963E7"/>
        <n v="3.1075133E7"/>
        <n v="3.1075134E7"/>
        <n v="3.1076291E7"/>
        <n v="3.1076292E7"/>
        <n v="3.107632E7"/>
        <n v="3.1076321E7"/>
        <n v="3.9699402E7"/>
        <n v="3.9699403E7"/>
        <n v="3.9699456E7"/>
        <n v="3.9699457E7"/>
        <n v="3.9699476E7"/>
        <n v="3.9699477E7"/>
      </sharedItems>
    </cacheField>
    <cacheField name="cad_mrc" numFmtId="0">
      <sharedItems containsSemiMixedTypes="0" containsString="0" containsNumber="1">
        <n v="1815.28"/>
        <n v="2435.2472"/>
        <n v="3437.57"/>
        <n v="1667.63"/>
        <n v="1688.1514"/>
        <n v="3174.929"/>
        <n v="2333.4095"/>
        <n v="3771.8909"/>
        <n v="1039.2525"/>
        <n v="2494.3512"/>
        <n v="1753.9136"/>
        <n v="1782.0472"/>
        <n v="2893.1081"/>
        <n v="3368.1743"/>
        <n v="2661.6242"/>
        <n v="4419.9241"/>
        <n v="3123.32"/>
        <n v="2120.3268"/>
        <n v="2174.56"/>
        <n v="3082.3742"/>
        <n v="2754.9118"/>
        <n v="2320.5082"/>
        <n v="2568.0027"/>
        <n v="2499.7381"/>
        <n v="3010.5524"/>
        <n v="1604.3"/>
        <n v="2660.6215"/>
        <n v="3759.0144"/>
        <n v="1957.8552"/>
        <n v="2029.5959"/>
        <n v="5459.7717"/>
        <n v="6220.434"/>
        <n v="3344.66"/>
        <n v="2724.46"/>
        <n v="3131.0534"/>
        <n v="2362.8844"/>
        <n v="2152.7083"/>
        <n v="2701.8672"/>
        <n v="2214.4526"/>
        <n v="1829.2251"/>
        <n v="2229.8584"/>
        <n v="3284.15"/>
        <n v="4315.7943"/>
        <n v="3321.23"/>
        <n v="3575.0294"/>
        <n v="3366.5642"/>
        <n v="1551.2165"/>
        <n v="4590.99"/>
        <n v="4251.66"/>
        <n v="1939.35"/>
        <n v="5049.1429"/>
        <n v="3460.7306"/>
        <n v="1548.7007"/>
        <n v="3109.818"/>
        <n v="3734.63"/>
        <n v="2975.09"/>
        <n v="3096.4"/>
        <n v="4890.8"/>
      </sharedItems>
    </cacheField>
    <cacheField name="cores" numFmtId="0">
      <sharedItems containsSemiMixedTypes="0" containsString="0" containsNumber="1" containsInteger="1">
        <n v="6.0"/>
        <n v="8.0"/>
        <n v="12.0"/>
        <n v="16.0"/>
        <n v="20.0"/>
      </sharedItems>
    </cacheField>
    <cacheField name="16 block" numFmtId="0">
      <sharedItems containsSemiMixedTypes="0" containsString="0" containsNumber="1" containsInteger="1">
        <n v="1.0"/>
      </sharedItems>
    </cacheField>
    <cacheField name="2 core add-ons" numFmtId="0">
      <sharedItems containsSemiMixedTypes="0" containsString="0" containsNumber="1" containsInteger="1">
        <n v="0.0"/>
        <n v="2.0"/>
      </sharedItems>
    </cacheField>
    <cacheField name="Total cost to aptum" numFmtId="164">
      <sharedItems containsSemiMixedTypes="0" containsString="0" containsNumber="1">
        <n v="591.8"/>
        <n v="739.7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B1:H47" firstHeaderRow="0" firstDataRow="3" firstDataCol="0"/>
  <pivotFields>
    <pivotField name="client_id" axis="axisRow" compact="0" outline="0" multipleItemSelectionAllowed="1" showAll="0" sortType="ascending" defaultSubtotal="0">
      <items>
        <item x="3"/>
        <item x="19"/>
        <item x="28"/>
        <item x="29"/>
        <item x="11"/>
        <item x="34"/>
        <item x="8"/>
        <item x="26"/>
        <item x="17"/>
        <item x="39"/>
        <item x="36"/>
        <item x="21"/>
        <item x="4"/>
        <item x="14"/>
        <item x="7"/>
        <item x="0"/>
        <item x="24"/>
        <item x="5"/>
        <item x="33"/>
        <item x="25"/>
        <item x="31"/>
        <item x="20"/>
        <item x="32"/>
        <item x="1"/>
        <item x="37"/>
        <item x="22"/>
        <item x="2"/>
        <item x="23"/>
        <item x="30"/>
        <item x="9"/>
        <item x="35"/>
        <item x="38"/>
        <item x="13"/>
        <item x="15"/>
        <item x="41"/>
        <item x="10"/>
        <item x="12"/>
        <item x="18"/>
        <item x="27"/>
        <item x="6"/>
        <item x="40"/>
        <item x="16"/>
      </items>
    </pivotField>
    <pivotField name="company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servic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service_status" compact="0" outline="0" multipleItemSelectionAllowed="1" showAll="0">
      <items>
        <item x="0"/>
        <item x="1"/>
        <item x="2"/>
        <item x="3"/>
        <item x="4"/>
        <item t="default"/>
      </items>
    </pivotField>
    <pivotField name="os" axis="axisRow" compact="0" outline="0" multipleItemSelectionAllowed="1" showAll="0" sortType="ascending">
      <items>
        <item x="1"/>
        <item x="2"/>
        <item x="0"/>
        <item x="3"/>
        <item t="default"/>
      </items>
    </pivotField>
    <pivotField name="component" compact="0" outline="0" multipleItemSelectionAllowed="1" showAll="0">
      <items>
        <item x="0"/>
        <item x="1"/>
        <item x="2"/>
        <item x="3"/>
        <item x="4"/>
        <item x="5"/>
        <item x="6"/>
        <item x="7"/>
        <item x="8"/>
        <item x="9"/>
        <item x="10"/>
        <item x="11"/>
        <item x="12"/>
        <item x="13"/>
        <item x="14"/>
        <item x="15"/>
        <item x="16"/>
        <item x="17"/>
        <item t="default"/>
      </items>
    </pivotField>
    <pivotField name="integer_ke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t="default"/>
      </items>
    </pivotField>
    <pivotField name="cad_mr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cores" dataField="1" compact="0" outline="0" multipleItemSelectionAllowed="1" showAll="0">
      <items>
        <item x="0"/>
        <item x="1"/>
        <item x="2"/>
        <item x="3"/>
        <item x="4"/>
        <item t="default"/>
      </items>
    </pivotField>
    <pivotField name="16 block" dataField="1" compact="0" outline="0" multipleItemSelectionAllowed="1" showAll="0">
      <items>
        <item x="0"/>
        <item t="default"/>
      </items>
    </pivotField>
    <pivotField name="2 core add-ons" dataField="1" compact="0" outline="0" multipleItemSelectionAllowed="1" showAll="0">
      <items>
        <item x="0"/>
        <item x="1"/>
        <item t="default"/>
      </items>
    </pivotField>
    <pivotField name="Total cost to aptum" dataField="1" compact="0" numFmtId="164" outline="0" multipleItemSelectionAllowed="1" showAll="0">
      <items>
        <item x="0"/>
        <item x="1"/>
        <item t="default"/>
      </items>
    </pivotField>
  </pivotFields>
  <rowFields>
    <field x="0"/>
    <field x="4"/>
  </rowFields>
  <colFields>
    <field x="-2"/>
  </colFields>
  <dataFields>
    <dataField name="COUNT of service_id" fld="2" subtotal="countNums" baseField="0"/>
    <dataField name="SUM of cores" fld="8" baseField="0"/>
    <dataField name="SUM of 16 block" fld="9" baseField="0"/>
    <dataField name="SUM of 2 core add-ons" fld="10" baseField="0"/>
    <dataField name="SUM of Total cost to aptum" fld="11"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aptum.lightning.force.com/lightning/r/006OF00000QTt8dYAD/view" TargetMode="External"/><Relationship Id="rId42" Type="http://schemas.openxmlformats.org/officeDocument/2006/relationships/hyperlink" Target="https://aptum.lightning.force.com/lightning/r/006OF00000QULzJYAX/view" TargetMode="External"/><Relationship Id="rId41" Type="http://schemas.openxmlformats.org/officeDocument/2006/relationships/hyperlink" Target="https://aptum.atlassian.net/jira/servicedesk/projects/APTUM/queues/custom/852/APTUM-32486" TargetMode="External"/><Relationship Id="rId44" Type="http://schemas.openxmlformats.org/officeDocument/2006/relationships/hyperlink" Target="https://aptum.lightning.force.com/lightning/r/006OF00000QTechYAD/view" TargetMode="External"/><Relationship Id="rId43" Type="http://schemas.openxmlformats.org/officeDocument/2006/relationships/hyperlink" Target="https://aptum.atlassian.net/browse/APTUM-39946" TargetMode="External"/><Relationship Id="rId46" Type="http://schemas.openxmlformats.org/officeDocument/2006/relationships/hyperlink" Target="https://aptum.lightning.force.com/lightning/r/Opportunity/006OF00000PFwN4YAL/view" TargetMode="External"/><Relationship Id="rId45" Type="http://schemas.openxmlformats.org/officeDocument/2006/relationships/hyperlink" Target="https://aptum.lightning.force.com/lightning/r/Opportunity/006OF00000PZWkzYAH/view" TargetMode="External"/><Relationship Id="rId1" Type="http://schemas.openxmlformats.org/officeDocument/2006/relationships/hyperlink" Target="https://aptum.lightning.force.com/lightning/r/006OF00000R18iLYAR/view" TargetMode="External"/><Relationship Id="rId2" Type="http://schemas.openxmlformats.org/officeDocument/2006/relationships/hyperlink" Target="https://disks.sharepoint.com/:x:/r/sites/GSESalesEngagement/Shared%20Documents/GSE%20Requests/%5BGSE-190%5D%20Cenovus%20Energy%20Inc.%20(aka%20Husky%20Energy%20Inc.)%20-%20VLCI%20-%20Cenovus%20Energy%20Inc.%20-%20VMWare/Cenovus%20Energy%20Inc.xlsm?d=w5ec64b6bc0c94421a6df428bc30ddee8&amp;csf=1&amp;web=1&amp;e=1qD4JG" TargetMode="External"/><Relationship Id="rId3" Type="http://schemas.openxmlformats.org/officeDocument/2006/relationships/hyperlink" Target="https://aptum.lightning.force.com/lightning/r/006OF00000R5QTsYAN/view" TargetMode="External"/><Relationship Id="rId4" Type="http://schemas.openxmlformats.org/officeDocument/2006/relationships/hyperlink" Target="https://aptum.lightning.force.com/lightning/r/006OF00000QUMCEYA5/view" TargetMode="External"/><Relationship Id="rId9" Type="http://schemas.openxmlformats.org/officeDocument/2006/relationships/hyperlink" Target="https://aptum.atlassian.net/browse/APTUM-51667" TargetMode="External"/><Relationship Id="rId48" Type="http://schemas.openxmlformats.org/officeDocument/2006/relationships/hyperlink" Target="https://aptum.lightning.force.com/lightning/r/006OF00000QSbGzYAL/view" TargetMode="External"/><Relationship Id="rId47" Type="http://schemas.openxmlformats.org/officeDocument/2006/relationships/hyperlink" Target="https://aptum.lightning.force.com/lightning/r/Opportunity/006OF00000PmB62YAF/view" TargetMode="External"/><Relationship Id="rId49" Type="http://schemas.openxmlformats.org/officeDocument/2006/relationships/hyperlink" Target="https://aptum.atlassian.net/jira/servicedesk/projects/APTUM/queues/custom/852/APTUM-32364" TargetMode="External"/><Relationship Id="rId5" Type="http://schemas.openxmlformats.org/officeDocument/2006/relationships/hyperlink" Target="https://aptum.atlassian.net/browse/APTUM-52322" TargetMode="External"/><Relationship Id="rId6" Type="http://schemas.openxmlformats.org/officeDocument/2006/relationships/hyperlink" Target="https://aptum.lightning.force.com/lightning/r/006OF00000QSb0rYAD/view" TargetMode="External"/><Relationship Id="rId7" Type="http://schemas.openxmlformats.org/officeDocument/2006/relationships/hyperlink" Target="https://aptum.atlassian.net/jira/servicedesk/projects/APTUM/queues/custom/852/APTUM-32273" TargetMode="External"/><Relationship Id="rId8" Type="http://schemas.openxmlformats.org/officeDocument/2006/relationships/hyperlink" Target="https://aptum.lightning.force.com/lightning/r/Opportunity/006OF00000MRrzhYAD/view" TargetMode="External"/><Relationship Id="rId31" Type="http://schemas.openxmlformats.org/officeDocument/2006/relationships/hyperlink" Target="https://aptum.atlassian.net/browse/APTUM-37165" TargetMode="External"/><Relationship Id="rId30" Type="http://schemas.openxmlformats.org/officeDocument/2006/relationships/hyperlink" Target="https://disks.sharepoint.com/:x:/r/sites/GSESalesEngagement/Shared%20Documents/GSE%20Requests/%5BGSE-201%5D%20Kinetico%20Incorporated%20(d/Kinetico%20-%20ATL.xlsm?d=w8ca5fe1ffe2f4f6397dc54eaf838c668&amp;csf=1&amp;web=1&amp;e=FfOxrB" TargetMode="External"/><Relationship Id="rId33" Type="http://schemas.openxmlformats.org/officeDocument/2006/relationships/hyperlink" Target="https://aptum.lightning.force.com/lightning/r/006OF00000QjVyPYAV/view" TargetMode="External"/><Relationship Id="rId32" Type="http://schemas.openxmlformats.org/officeDocument/2006/relationships/hyperlink" Target="https://aptum.lightning.force.com/lightning/r/006OF00000QirEYYAZ/view" TargetMode="External"/><Relationship Id="rId35" Type="http://schemas.openxmlformats.org/officeDocument/2006/relationships/hyperlink" Target="https://aptum.atlassian.net/browse/APTUM-40519" TargetMode="External"/><Relationship Id="rId34" Type="http://schemas.openxmlformats.org/officeDocument/2006/relationships/hyperlink" Target="https://aptum.lightning.force.com/lightning/r/006OF00000QU6QsYAL/view" TargetMode="External"/><Relationship Id="rId37" Type="http://schemas.openxmlformats.org/officeDocument/2006/relationships/hyperlink" Target="https://aptum.atlassian.net/browse/APTUM-28930" TargetMode="External"/><Relationship Id="rId36" Type="http://schemas.openxmlformats.org/officeDocument/2006/relationships/hyperlink" Target="https://aptum.lightning.force.com/lightning/r/Opportunity/006OF00000QUHAvYAP/view" TargetMode="External"/><Relationship Id="rId39" Type="http://schemas.openxmlformats.org/officeDocument/2006/relationships/hyperlink" Target="https://aptum.atlassian.net/browse/APTUM-39965" TargetMode="External"/><Relationship Id="rId38" Type="http://schemas.openxmlformats.org/officeDocument/2006/relationships/hyperlink" Target="https://aptum.lightning.force.com/lightning/r/006OF00000QUMQlYAP/view" TargetMode="External"/><Relationship Id="rId20" Type="http://schemas.openxmlformats.org/officeDocument/2006/relationships/hyperlink" Target="https://aptum.atlassian.net/browse/APTUM-35440" TargetMode="External"/><Relationship Id="rId22" Type="http://schemas.openxmlformats.org/officeDocument/2006/relationships/hyperlink" Target="https://aptum.atlassian.net/browse/APTUM-36306" TargetMode="External"/><Relationship Id="rId21" Type="http://schemas.openxmlformats.org/officeDocument/2006/relationships/hyperlink" Target="https://aptum.lightning.force.com/lightning/r/006OF00000QUL4sYAH/view" TargetMode="External"/><Relationship Id="rId24" Type="http://schemas.openxmlformats.org/officeDocument/2006/relationships/hyperlink" Target="https://aptum.lightning.force.com/lightning/r/Opportunity/006OF00000OZoHpYAL/view" TargetMode="External"/><Relationship Id="rId23" Type="http://schemas.openxmlformats.org/officeDocument/2006/relationships/hyperlink" Target="https://aptum.lightning.force.com/lightning/r/006OF00000QTspGYAT/view" TargetMode="External"/><Relationship Id="rId26" Type="http://schemas.openxmlformats.org/officeDocument/2006/relationships/hyperlink" Target="https://disks.sharepoint.com/:x:/r/sites/GSESalesEngagement/Shared%20Documents/GSE%20Requests/%5BGSE-198%5D%20Combined%20Metal%20Industries%20Inc%20-%20Combined%20Metal%20-%20VMWare%20ESXI/Combined%20Metal%201.xlsm?d=w80779be29311426db29ccc2f2192c08d&amp;csf=1&amp;web=1&amp;e=SJC9UQ" TargetMode="External"/><Relationship Id="rId25" Type="http://schemas.openxmlformats.org/officeDocument/2006/relationships/hyperlink" Target="https://aptum.lightning.force.com/lightning/r/006OF00000QSQOrYAP/view" TargetMode="External"/><Relationship Id="rId28" Type="http://schemas.openxmlformats.org/officeDocument/2006/relationships/hyperlink" Target="https://aptum.lightning.force.com/lightning/r/Opportunity/006OF00000HTOQBYA5/view" TargetMode="External"/><Relationship Id="rId27" Type="http://schemas.openxmlformats.org/officeDocument/2006/relationships/hyperlink" Target="https://aptum.lightning.force.com/lightning/r/006OF00000R152xYAB/view" TargetMode="External"/><Relationship Id="rId29" Type="http://schemas.openxmlformats.org/officeDocument/2006/relationships/hyperlink" Target="https://aptum.lightning.force.com/lightning/r/006OF00000QUGpyYAH/view" TargetMode="External"/><Relationship Id="rId51" Type="http://schemas.openxmlformats.org/officeDocument/2006/relationships/hyperlink" Target="https://aptum.lightning.force.com/lightning/r/006OF00000QUBLiYAP/view" TargetMode="External"/><Relationship Id="rId50" Type="http://schemas.openxmlformats.org/officeDocument/2006/relationships/hyperlink" Target="https://aptum.lightning.force.com/lightning/r/006OF00000QSZS8YAP/view" TargetMode="External"/><Relationship Id="rId53" Type="http://schemas.openxmlformats.org/officeDocument/2006/relationships/hyperlink" Target="https://aptum.lightning.force.com/lightning/r/006OF00000QjfcjYAB/view" TargetMode="External"/><Relationship Id="rId52" Type="http://schemas.openxmlformats.org/officeDocument/2006/relationships/hyperlink" Target="https://aptum.atlassian.net/browse/APTUM-40169" TargetMode="External"/><Relationship Id="rId11" Type="http://schemas.openxmlformats.org/officeDocument/2006/relationships/hyperlink" Target="https://aptum.lightning.force.com/lightning/r/006OF00000QjQx5YAF/view" TargetMode="External"/><Relationship Id="rId55" Type="http://schemas.openxmlformats.org/officeDocument/2006/relationships/hyperlink" Target="https://aptum.lightning.force.com/lightning/r/006OF00000QSVRjYAP/view" TargetMode="External"/><Relationship Id="rId10" Type="http://schemas.openxmlformats.org/officeDocument/2006/relationships/hyperlink" Target="https://aptum.lightning.force.com/lightning/r/006OF00000R0yBAYAZ/view" TargetMode="External"/><Relationship Id="rId54" Type="http://schemas.openxmlformats.org/officeDocument/2006/relationships/hyperlink" Target="https://aptum.lightning.force.com/lightning/r/006OF00000QST06YAH/view" TargetMode="External"/><Relationship Id="rId13" Type="http://schemas.openxmlformats.org/officeDocument/2006/relationships/hyperlink" Target="https://aptum.atlassian.net/browse/APTUM-29283" TargetMode="External"/><Relationship Id="rId57" Type="http://schemas.openxmlformats.org/officeDocument/2006/relationships/drawing" Target="../drawings/drawing2.xml"/><Relationship Id="rId12" Type="http://schemas.openxmlformats.org/officeDocument/2006/relationships/hyperlink" Target="https://aptum.lightning.force.com/lightning/r/006OF00000QTvAQYA1/view" TargetMode="External"/><Relationship Id="rId56" Type="http://schemas.openxmlformats.org/officeDocument/2006/relationships/hyperlink" Target="https://aptum.atlassian.net/browse/APTUM-36302" TargetMode="External"/><Relationship Id="rId15" Type="http://schemas.openxmlformats.org/officeDocument/2006/relationships/hyperlink" Target="https://disks.sharepoint.com/:x:/r/sites/GSESalesEngagement/Shared%20Documents/GSE%20Requests/%5BGSE-192%5D%20Internet%20Edge%20Solutions%20Inc.%20-%20Internet%20Edge%20-%20VMWare%20Licensing%20Discussion%20-%20VLCI/Internet%20Edge%20Solutions%201.xlsm?d=w003065cf1401422fab38e74c076de8e5&amp;csf=1&amp;web=1&amp;e=UcXuQl" TargetMode="External"/><Relationship Id="rId14" Type="http://schemas.openxmlformats.org/officeDocument/2006/relationships/hyperlink" Target="https://aptum.lightning.force.com/lightning/r/006OF00000QSOJoYAP/view" TargetMode="External"/><Relationship Id="rId17" Type="http://schemas.openxmlformats.org/officeDocument/2006/relationships/hyperlink" Target="https://aptum.lightning.force.com/lightning/r/Opportunity/006OF00000PKdJlYAL/view" TargetMode="External"/><Relationship Id="rId16" Type="http://schemas.openxmlformats.org/officeDocument/2006/relationships/hyperlink" Target="https://aptum.atlassian.net/browse/APTUM-38960" TargetMode="External"/><Relationship Id="rId19" Type="http://schemas.openxmlformats.org/officeDocument/2006/relationships/hyperlink" Target="https://disks.sharepoint.com/:x:/r/sites/GSESalesEngagement/Shared%20Documents/GSE%20Requests/%5BGSE-193%5D%20Nomad%20Digital%20Inc.%20-%20Nomad%20-%20VMware%20Discussion%20-%20VLCI/Nomad%20Digital%201.xlsm?d=w5792ebb616be44ff95d1d1d3c972eb9d&amp;csf=1&amp;web=1&amp;e=ThNISO" TargetMode="External"/><Relationship Id="rId18" Type="http://schemas.openxmlformats.org/officeDocument/2006/relationships/hyperlink" Target="https://aptum.lightning.force.com/lightning/r/006OF00000QToNTYA1/view"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5"/>
    <col customWidth="1" min="2" max="2" width="25.25"/>
    <col customWidth="1" min="4" max="4" width="13.63"/>
    <col customWidth="1" min="5" max="5" width="14.13"/>
    <col customWidth="1" min="6" max="6" width="52.25"/>
    <col customWidth="1" min="11" max="11" width="17.63"/>
    <col customWidth="1" min="12" max="12" width="11.0"/>
    <col customWidth="1" min="14" max="14" width="17.0"/>
    <col customWidth="1" min="17" max="17" width="51.5"/>
    <col customWidth="1" min="18" max="18" width="37.75"/>
    <col customWidth="1" min="19" max="19" width="24.13"/>
  </cols>
  <sheetData>
    <row r="1">
      <c r="A1" s="1" t="s">
        <v>0</v>
      </c>
      <c r="B1" s="2">
        <v>591.8</v>
      </c>
      <c r="C1" s="1"/>
      <c r="D1" s="1"/>
      <c r="E1" s="1"/>
      <c r="F1" s="1"/>
      <c r="G1" s="1"/>
      <c r="H1" s="1"/>
      <c r="I1" s="1"/>
      <c r="J1" s="1"/>
      <c r="K1" s="1"/>
    </row>
    <row r="2">
      <c r="A2" s="1" t="s">
        <v>1</v>
      </c>
      <c r="B2" s="2">
        <v>73.98</v>
      </c>
      <c r="C2" s="1"/>
      <c r="D2" s="1"/>
      <c r="E2" s="1"/>
      <c r="F2" s="1"/>
      <c r="G2" s="1"/>
      <c r="H2" s="1"/>
      <c r="I2" s="1"/>
      <c r="J2" s="1"/>
      <c r="K2" s="1"/>
    </row>
    <row r="3">
      <c r="A3" s="1"/>
      <c r="B3" s="1"/>
      <c r="C3" s="1"/>
      <c r="D3" s="1"/>
      <c r="E3" s="1"/>
      <c r="F3" s="1"/>
      <c r="G3" s="1"/>
      <c r="H3" s="1"/>
      <c r="I3" s="1"/>
      <c r="J3" s="1"/>
      <c r="K3" s="1"/>
    </row>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row>
    <row r="5" hidden="1">
      <c r="A5" s="1">
        <v>7007654.0</v>
      </c>
      <c r="B5" s="1" t="s">
        <v>21</v>
      </c>
      <c r="C5" s="1">
        <v>7516745.0</v>
      </c>
      <c r="D5" s="1" t="s">
        <v>22</v>
      </c>
      <c r="E5" s="1" t="s">
        <v>23</v>
      </c>
      <c r="F5" s="1" t="s">
        <v>24</v>
      </c>
      <c r="G5" s="1">
        <v>3.8746789E7</v>
      </c>
      <c r="H5" s="1">
        <v>1815.28</v>
      </c>
      <c r="I5" s="3">
        <f>IFERROR(__xludf.DUMMYFUNCTION("IFERROR(VALUE(REGEXEXTRACT(F5, ""(\d+)[-\s]?Cores?"")))"),6.0)</f>
        <v>6</v>
      </c>
      <c r="J5" s="3">
        <f t="shared" ref="J5:J234" si="1">IF(I5&gt;0, 1, "")</f>
        <v>1</v>
      </c>
      <c r="K5" s="1">
        <f t="shared" ref="K5:K234" si="2">IF(I5&gt;0, MAX(0, I5-16)/2, "")
  </f>
        <v>0</v>
      </c>
      <c r="L5" s="4">
        <f t="shared" ref="L5:L234" si="3">J5*$B$1+K5*$B$2</f>
        <v>591.8</v>
      </c>
      <c r="M5" s="5">
        <v>7.0</v>
      </c>
      <c r="N5" s="1" t="s">
        <v>25</v>
      </c>
      <c r="R5" s="1" t="s">
        <v>26</v>
      </c>
    </row>
    <row r="6" hidden="1">
      <c r="A6" s="1">
        <v>7007654.0</v>
      </c>
      <c r="B6" s="1" t="s">
        <v>21</v>
      </c>
      <c r="C6" s="1">
        <v>7516745.0</v>
      </c>
      <c r="D6" s="1" t="s">
        <v>22</v>
      </c>
      <c r="E6" s="1" t="s">
        <v>23</v>
      </c>
      <c r="F6" s="1" t="s">
        <v>24</v>
      </c>
      <c r="G6" s="1">
        <v>3.874679E7</v>
      </c>
      <c r="H6" s="1">
        <v>1815.28</v>
      </c>
      <c r="I6" s="3">
        <f>IFERROR(__xludf.DUMMYFUNCTION("IFERROR(VALUE(REGEXEXTRACT(F6, ""(\d+)[-\s]?Cores?"")))"),6.0)</f>
        <v>6</v>
      </c>
      <c r="J6" s="3">
        <f t="shared" si="1"/>
        <v>1</v>
      </c>
      <c r="K6" s="1">
        <f t="shared" si="2"/>
        <v>0</v>
      </c>
      <c r="L6" s="4">
        <f t="shared" si="3"/>
        <v>591.8</v>
      </c>
      <c r="M6" s="5">
        <v>7.0</v>
      </c>
      <c r="N6" s="1" t="s">
        <v>25</v>
      </c>
      <c r="R6" s="1" t="s">
        <v>26</v>
      </c>
    </row>
    <row r="7" hidden="1">
      <c r="A7" s="1">
        <v>7007654.0</v>
      </c>
      <c r="B7" s="1" t="s">
        <v>21</v>
      </c>
      <c r="C7" s="1">
        <v>7516746.0</v>
      </c>
      <c r="D7" s="1" t="s">
        <v>22</v>
      </c>
      <c r="E7" s="1" t="s">
        <v>23</v>
      </c>
      <c r="F7" s="1" t="s">
        <v>24</v>
      </c>
      <c r="G7" s="1">
        <v>3.8746809E7</v>
      </c>
      <c r="H7" s="1">
        <v>1815.28</v>
      </c>
      <c r="I7" s="3">
        <f>IFERROR(__xludf.DUMMYFUNCTION("IFERROR(VALUE(REGEXEXTRACT(F7, ""(\d+)[-\s]?Cores?"")))"),6.0)</f>
        <v>6</v>
      </c>
      <c r="J7" s="3">
        <f t="shared" si="1"/>
        <v>1</v>
      </c>
      <c r="K7" s="1">
        <f t="shared" si="2"/>
        <v>0</v>
      </c>
      <c r="L7" s="4">
        <f t="shared" si="3"/>
        <v>591.8</v>
      </c>
      <c r="M7" s="5">
        <v>7.0</v>
      </c>
      <c r="N7" s="1" t="s">
        <v>25</v>
      </c>
      <c r="R7" s="1" t="s">
        <v>26</v>
      </c>
    </row>
    <row r="8" hidden="1">
      <c r="A8" s="1">
        <v>7007654.0</v>
      </c>
      <c r="B8" s="1" t="s">
        <v>21</v>
      </c>
      <c r="C8" s="1">
        <v>7516746.0</v>
      </c>
      <c r="D8" s="1" t="s">
        <v>22</v>
      </c>
      <c r="E8" s="1" t="s">
        <v>23</v>
      </c>
      <c r="F8" s="1" t="s">
        <v>24</v>
      </c>
      <c r="G8" s="1">
        <v>3.874681E7</v>
      </c>
      <c r="H8" s="1">
        <v>1815.28</v>
      </c>
      <c r="I8" s="3">
        <f>IFERROR(__xludf.DUMMYFUNCTION("IFERROR(VALUE(REGEXEXTRACT(F8, ""(\d+)[-\s]?Cores?"")))"),6.0)</f>
        <v>6</v>
      </c>
      <c r="J8" s="3">
        <f t="shared" si="1"/>
        <v>1</v>
      </c>
      <c r="K8" s="1">
        <f t="shared" si="2"/>
        <v>0</v>
      </c>
      <c r="L8" s="4">
        <f t="shared" si="3"/>
        <v>591.8</v>
      </c>
      <c r="M8" s="5">
        <v>7.0</v>
      </c>
      <c r="N8" s="1" t="s">
        <v>25</v>
      </c>
      <c r="R8" s="1" t="s">
        <v>26</v>
      </c>
    </row>
    <row r="9" hidden="1">
      <c r="A9" s="1">
        <v>7012926.0</v>
      </c>
      <c r="B9" s="1" t="s">
        <v>27</v>
      </c>
      <c r="C9" s="1">
        <v>4968897.0</v>
      </c>
      <c r="D9" s="1" t="s">
        <v>22</v>
      </c>
      <c r="E9" s="1" t="s">
        <v>28</v>
      </c>
      <c r="F9" s="1" t="s">
        <v>29</v>
      </c>
      <c r="G9" s="1">
        <v>1.471044E7</v>
      </c>
      <c r="H9" s="1">
        <v>2435.2472</v>
      </c>
      <c r="I9" s="3">
        <f>IFERROR(__xludf.DUMMYFUNCTION("IFERROR(VALUE(REGEXEXTRACT(F9, ""(\d+)[-\s]?Cores?"")))"),8.0)</f>
        <v>8</v>
      </c>
      <c r="J9" s="3">
        <f t="shared" si="1"/>
        <v>1</v>
      </c>
      <c r="K9" s="1">
        <f t="shared" si="2"/>
        <v>0</v>
      </c>
      <c r="L9" s="4">
        <f t="shared" si="3"/>
        <v>591.8</v>
      </c>
      <c r="M9" s="5">
        <v>7.0</v>
      </c>
      <c r="N9" s="1" t="s">
        <v>30</v>
      </c>
      <c r="Q9" s="1" t="s">
        <v>31</v>
      </c>
      <c r="R9" s="1" t="s">
        <v>26</v>
      </c>
    </row>
    <row r="10" hidden="1">
      <c r="A10" s="1">
        <v>7012926.0</v>
      </c>
      <c r="B10" s="1" t="s">
        <v>27</v>
      </c>
      <c r="C10" s="1">
        <v>4968897.0</v>
      </c>
      <c r="D10" s="1" t="s">
        <v>22</v>
      </c>
      <c r="E10" s="1" t="s">
        <v>28</v>
      </c>
      <c r="F10" s="1" t="s">
        <v>29</v>
      </c>
      <c r="G10" s="1">
        <v>1.4710441E7</v>
      </c>
      <c r="H10" s="1">
        <v>2435.2472</v>
      </c>
      <c r="I10" s="3">
        <f>IFERROR(__xludf.DUMMYFUNCTION("IFERROR(VALUE(REGEXEXTRACT(F10, ""(\d+)[-\s]?Cores?"")))"),8.0)</f>
        <v>8</v>
      </c>
      <c r="J10" s="3">
        <f t="shared" si="1"/>
        <v>1</v>
      </c>
      <c r="K10" s="1">
        <f t="shared" si="2"/>
        <v>0</v>
      </c>
      <c r="L10" s="4">
        <f t="shared" si="3"/>
        <v>591.8</v>
      </c>
      <c r="M10" s="5">
        <v>7.0</v>
      </c>
      <c r="N10" s="1" t="s">
        <v>30</v>
      </c>
      <c r="Q10" s="1" t="s">
        <v>31</v>
      </c>
      <c r="R10" s="1" t="s">
        <v>26</v>
      </c>
    </row>
    <row r="11" hidden="1">
      <c r="A11" s="1">
        <v>7012926.0</v>
      </c>
      <c r="B11" s="1" t="s">
        <v>27</v>
      </c>
      <c r="C11" s="1">
        <v>4968898.0</v>
      </c>
      <c r="D11" s="1" t="s">
        <v>22</v>
      </c>
      <c r="E11" s="1" t="s">
        <v>28</v>
      </c>
      <c r="F11" s="1" t="s">
        <v>29</v>
      </c>
      <c r="G11" s="1">
        <v>1.4710466E7</v>
      </c>
      <c r="H11" s="1">
        <v>2435.2472</v>
      </c>
      <c r="I11" s="3">
        <f>IFERROR(__xludf.DUMMYFUNCTION("IFERROR(VALUE(REGEXEXTRACT(F11, ""(\d+)[-\s]?Cores?"")))"),8.0)</f>
        <v>8</v>
      </c>
      <c r="J11" s="3">
        <f t="shared" si="1"/>
        <v>1</v>
      </c>
      <c r="K11" s="1">
        <f t="shared" si="2"/>
        <v>0</v>
      </c>
      <c r="L11" s="4">
        <f t="shared" si="3"/>
        <v>591.8</v>
      </c>
      <c r="M11" s="5">
        <v>7.0</v>
      </c>
      <c r="N11" s="1" t="s">
        <v>30</v>
      </c>
      <c r="Q11" s="1" t="s">
        <v>31</v>
      </c>
      <c r="R11" s="1" t="s">
        <v>26</v>
      </c>
    </row>
    <row r="12" hidden="1">
      <c r="A12" s="1">
        <v>7012926.0</v>
      </c>
      <c r="B12" s="1" t="s">
        <v>27</v>
      </c>
      <c r="C12" s="1">
        <v>4968898.0</v>
      </c>
      <c r="D12" s="1" t="s">
        <v>22</v>
      </c>
      <c r="E12" s="1" t="s">
        <v>28</v>
      </c>
      <c r="F12" s="1" t="s">
        <v>29</v>
      </c>
      <c r="G12" s="1">
        <v>1.4710467E7</v>
      </c>
      <c r="H12" s="1">
        <v>2435.2472</v>
      </c>
      <c r="I12" s="3">
        <f>IFERROR(__xludf.DUMMYFUNCTION("IFERROR(VALUE(REGEXEXTRACT(F12, ""(\d+)[-\s]?Cores?"")))"),8.0)</f>
        <v>8</v>
      </c>
      <c r="J12" s="3">
        <f t="shared" si="1"/>
        <v>1</v>
      </c>
      <c r="K12" s="1">
        <f t="shared" si="2"/>
        <v>0</v>
      </c>
      <c r="L12" s="4">
        <f t="shared" si="3"/>
        <v>591.8</v>
      </c>
      <c r="M12" s="5">
        <v>7.0</v>
      </c>
      <c r="N12" s="1" t="s">
        <v>30</v>
      </c>
      <c r="Q12" s="1" t="s">
        <v>31</v>
      </c>
      <c r="R12" s="1" t="s">
        <v>26</v>
      </c>
    </row>
    <row r="13">
      <c r="A13" s="1">
        <v>7013453.0</v>
      </c>
      <c r="B13" s="1" t="s">
        <v>32</v>
      </c>
      <c r="C13" s="1">
        <v>7337052.0</v>
      </c>
      <c r="D13" s="1" t="s">
        <v>22</v>
      </c>
      <c r="E13" s="1" t="s">
        <v>23</v>
      </c>
      <c r="F13" s="1" t="s">
        <v>29</v>
      </c>
      <c r="G13" s="1">
        <v>3.6777479E7</v>
      </c>
      <c r="H13" s="1">
        <v>3437.57</v>
      </c>
      <c r="I13" s="3">
        <f>IFERROR(__xludf.DUMMYFUNCTION("IFERROR(VALUE(REGEXEXTRACT(F13, ""(\d+)[-\s]?Cores?"")))"),8.0)</f>
        <v>8</v>
      </c>
      <c r="J13" s="3">
        <f t="shared" si="1"/>
        <v>1</v>
      </c>
      <c r="K13" s="1">
        <f t="shared" si="2"/>
        <v>0</v>
      </c>
      <c r="L13" s="4">
        <f t="shared" si="3"/>
        <v>591.8</v>
      </c>
      <c r="M13" s="5">
        <v>7.0</v>
      </c>
      <c r="N13" s="1" t="s">
        <v>33</v>
      </c>
      <c r="O13" s="1" t="s">
        <v>16</v>
      </c>
      <c r="Q13" s="1" t="s">
        <v>34</v>
      </c>
    </row>
    <row r="14">
      <c r="A14" s="1">
        <v>7013453.0</v>
      </c>
      <c r="B14" s="1" t="s">
        <v>32</v>
      </c>
      <c r="C14" s="1">
        <v>7337052.0</v>
      </c>
      <c r="D14" s="1" t="s">
        <v>22</v>
      </c>
      <c r="E14" s="1" t="s">
        <v>23</v>
      </c>
      <c r="F14" s="1" t="s">
        <v>29</v>
      </c>
      <c r="G14" s="1">
        <v>3.677748E7</v>
      </c>
      <c r="H14" s="1">
        <v>3437.57</v>
      </c>
      <c r="I14" s="3">
        <f>IFERROR(__xludf.DUMMYFUNCTION("IFERROR(VALUE(REGEXEXTRACT(F14, ""(\d+)[-\s]?Cores?"")))"),8.0)</f>
        <v>8</v>
      </c>
      <c r="J14" s="3">
        <f t="shared" si="1"/>
        <v>1</v>
      </c>
      <c r="K14" s="1">
        <f t="shared" si="2"/>
        <v>0</v>
      </c>
      <c r="L14" s="4">
        <f t="shared" si="3"/>
        <v>591.8</v>
      </c>
      <c r="M14" s="5">
        <v>7.0</v>
      </c>
      <c r="N14" s="1" t="s">
        <v>33</v>
      </c>
      <c r="O14" s="1" t="s">
        <v>16</v>
      </c>
      <c r="Q14" s="1" t="s">
        <v>34</v>
      </c>
    </row>
    <row r="15">
      <c r="A15" s="1">
        <v>7013453.0</v>
      </c>
      <c r="B15" s="1" t="s">
        <v>32</v>
      </c>
      <c r="C15" s="1">
        <v>7337053.0</v>
      </c>
      <c r="D15" s="1" t="s">
        <v>22</v>
      </c>
      <c r="E15" s="1" t="s">
        <v>23</v>
      </c>
      <c r="F15" s="1" t="s">
        <v>29</v>
      </c>
      <c r="G15" s="1">
        <v>3.6777503E7</v>
      </c>
      <c r="H15" s="1">
        <v>3437.57</v>
      </c>
      <c r="I15" s="3">
        <f>IFERROR(__xludf.DUMMYFUNCTION("IFERROR(VALUE(REGEXEXTRACT(F15, ""(\d+)[-\s]?Cores?"")))"),8.0)</f>
        <v>8</v>
      </c>
      <c r="J15" s="3">
        <f t="shared" si="1"/>
        <v>1</v>
      </c>
      <c r="K15" s="1">
        <f t="shared" si="2"/>
        <v>0</v>
      </c>
      <c r="L15" s="4">
        <f t="shared" si="3"/>
        <v>591.8</v>
      </c>
      <c r="M15" s="5">
        <v>7.0</v>
      </c>
      <c r="N15" s="1" t="s">
        <v>33</v>
      </c>
      <c r="O15" s="1" t="s">
        <v>16</v>
      </c>
      <c r="Q15" s="1" t="s">
        <v>34</v>
      </c>
    </row>
    <row r="16">
      <c r="A16" s="1">
        <v>7013453.0</v>
      </c>
      <c r="B16" s="1" t="s">
        <v>32</v>
      </c>
      <c r="C16" s="1">
        <v>7337053.0</v>
      </c>
      <c r="D16" s="1" t="s">
        <v>22</v>
      </c>
      <c r="E16" s="1" t="s">
        <v>23</v>
      </c>
      <c r="F16" s="1" t="s">
        <v>29</v>
      </c>
      <c r="G16" s="1">
        <v>3.6777504E7</v>
      </c>
      <c r="H16" s="1">
        <v>3437.57</v>
      </c>
      <c r="I16" s="3">
        <f>IFERROR(__xludf.DUMMYFUNCTION("IFERROR(VALUE(REGEXEXTRACT(F16, ""(\d+)[-\s]?Cores?"")))"),8.0)</f>
        <v>8</v>
      </c>
      <c r="J16" s="3">
        <f t="shared" si="1"/>
        <v>1</v>
      </c>
      <c r="K16" s="1">
        <f t="shared" si="2"/>
        <v>0</v>
      </c>
      <c r="L16" s="4">
        <f t="shared" si="3"/>
        <v>591.8</v>
      </c>
      <c r="M16" s="5">
        <v>7.0</v>
      </c>
      <c r="N16" s="1" t="s">
        <v>33</v>
      </c>
      <c r="O16" s="1" t="s">
        <v>16</v>
      </c>
      <c r="Q16" s="1" t="s">
        <v>34</v>
      </c>
    </row>
    <row r="17">
      <c r="A17" s="1">
        <v>1000343.0</v>
      </c>
      <c r="B17" s="1" t="s">
        <v>35</v>
      </c>
      <c r="C17" s="1">
        <v>7524554.0</v>
      </c>
      <c r="D17" s="1" t="s">
        <v>22</v>
      </c>
      <c r="E17" s="1" t="s">
        <v>23</v>
      </c>
      <c r="F17" s="1" t="s">
        <v>29</v>
      </c>
      <c r="G17" s="1">
        <v>3.8863703E7</v>
      </c>
      <c r="H17" s="1">
        <v>1667.63</v>
      </c>
      <c r="I17" s="3">
        <f>IFERROR(__xludf.DUMMYFUNCTION("IFERROR(VALUE(REGEXEXTRACT(F17, ""(\d+)[-\s]?Cores?"")))"),8.0)</f>
        <v>8</v>
      </c>
      <c r="J17" s="3">
        <f t="shared" si="1"/>
        <v>1</v>
      </c>
      <c r="K17" s="1">
        <f t="shared" si="2"/>
        <v>0</v>
      </c>
      <c r="L17" s="4">
        <f t="shared" si="3"/>
        <v>591.8</v>
      </c>
      <c r="M17" s="5">
        <v>7.0</v>
      </c>
      <c r="N17" s="1" t="s">
        <v>33</v>
      </c>
      <c r="Q17" s="1" t="s">
        <v>36</v>
      </c>
      <c r="R17" s="1" t="s">
        <v>26</v>
      </c>
    </row>
    <row r="18">
      <c r="A18" s="1">
        <v>1000343.0</v>
      </c>
      <c r="B18" s="1" t="s">
        <v>35</v>
      </c>
      <c r="C18" s="1">
        <v>7524554.0</v>
      </c>
      <c r="D18" s="1" t="s">
        <v>22</v>
      </c>
      <c r="E18" s="1" t="s">
        <v>23</v>
      </c>
      <c r="F18" s="1" t="s">
        <v>29</v>
      </c>
      <c r="G18" s="1">
        <v>3.8863704E7</v>
      </c>
      <c r="H18" s="1">
        <v>1667.63</v>
      </c>
      <c r="I18" s="3">
        <f>IFERROR(__xludf.DUMMYFUNCTION("IFERROR(VALUE(REGEXEXTRACT(F18, ""(\d+)[-\s]?Cores?"")))"),8.0)</f>
        <v>8</v>
      </c>
      <c r="J18" s="3">
        <f t="shared" si="1"/>
        <v>1</v>
      </c>
      <c r="K18" s="1">
        <f t="shared" si="2"/>
        <v>0</v>
      </c>
      <c r="L18" s="4">
        <f t="shared" si="3"/>
        <v>591.8</v>
      </c>
      <c r="M18" s="5">
        <v>7.0</v>
      </c>
      <c r="N18" s="1" t="s">
        <v>33</v>
      </c>
      <c r="Q18" s="1" t="s">
        <v>36</v>
      </c>
      <c r="R18" s="1" t="s">
        <v>26</v>
      </c>
    </row>
    <row r="19">
      <c r="A19" s="1">
        <v>1000343.0</v>
      </c>
      <c r="B19" s="1" t="s">
        <v>35</v>
      </c>
      <c r="C19" s="1">
        <v>7524555.0</v>
      </c>
      <c r="D19" s="1" t="s">
        <v>22</v>
      </c>
      <c r="E19" s="1" t="s">
        <v>23</v>
      </c>
      <c r="F19" s="1" t="s">
        <v>29</v>
      </c>
      <c r="G19" s="1">
        <v>3.8863722E7</v>
      </c>
      <c r="H19" s="1">
        <v>1667.63</v>
      </c>
      <c r="I19" s="3">
        <f>IFERROR(__xludf.DUMMYFUNCTION("IFERROR(VALUE(REGEXEXTRACT(F19, ""(\d+)[-\s]?Cores?"")))"),8.0)</f>
        <v>8</v>
      </c>
      <c r="J19" s="3">
        <f t="shared" si="1"/>
        <v>1</v>
      </c>
      <c r="K19" s="1">
        <f t="shared" si="2"/>
        <v>0</v>
      </c>
      <c r="L19" s="4">
        <f t="shared" si="3"/>
        <v>591.8</v>
      </c>
      <c r="M19" s="5">
        <v>7.0</v>
      </c>
      <c r="N19" s="1" t="s">
        <v>33</v>
      </c>
      <c r="Q19" s="1" t="s">
        <v>36</v>
      </c>
      <c r="R19" s="1" t="s">
        <v>26</v>
      </c>
    </row>
    <row r="20">
      <c r="A20" s="1">
        <v>1000343.0</v>
      </c>
      <c r="B20" s="1" t="s">
        <v>35</v>
      </c>
      <c r="C20" s="1">
        <v>7524555.0</v>
      </c>
      <c r="D20" s="1" t="s">
        <v>22</v>
      </c>
      <c r="E20" s="1" t="s">
        <v>23</v>
      </c>
      <c r="F20" s="1" t="s">
        <v>29</v>
      </c>
      <c r="G20" s="1">
        <v>3.8863723E7</v>
      </c>
      <c r="H20" s="1">
        <v>1667.63</v>
      </c>
      <c r="I20" s="3">
        <f>IFERROR(__xludf.DUMMYFUNCTION("IFERROR(VALUE(REGEXEXTRACT(F20, ""(\d+)[-\s]?Cores?"")))"),8.0)</f>
        <v>8</v>
      </c>
      <c r="J20" s="3">
        <f t="shared" si="1"/>
        <v>1</v>
      </c>
      <c r="K20" s="1">
        <f t="shared" si="2"/>
        <v>0</v>
      </c>
      <c r="L20" s="4">
        <f t="shared" si="3"/>
        <v>591.8</v>
      </c>
      <c r="M20" s="5">
        <v>7.0</v>
      </c>
      <c r="N20" s="1" t="s">
        <v>33</v>
      </c>
      <c r="Q20" s="1" t="s">
        <v>36</v>
      </c>
      <c r="R20" s="1" t="s">
        <v>26</v>
      </c>
    </row>
    <row r="21" hidden="1">
      <c r="A21" s="1">
        <v>7003351.0</v>
      </c>
      <c r="B21" s="1" t="s">
        <v>37</v>
      </c>
      <c r="C21" s="1">
        <v>6229696.0</v>
      </c>
      <c r="D21" s="1" t="s">
        <v>38</v>
      </c>
      <c r="E21" s="1" t="s">
        <v>39</v>
      </c>
      <c r="F21" s="1" t="s">
        <v>40</v>
      </c>
      <c r="G21" s="1">
        <v>2.606542E7</v>
      </c>
      <c r="H21" s="1">
        <v>1688.1514</v>
      </c>
      <c r="I21" s="3">
        <f>IFERROR(__xludf.DUMMYFUNCTION("IFERROR(VALUE(REGEXEXTRACT(F21, ""(\d+)[-\s]?Cores?"")))"),8.0)</f>
        <v>8</v>
      </c>
      <c r="J21" s="3">
        <f t="shared" si="1"/>
        <v>1</v>
      </c>
      <c r="K21" s="1">
        <f t="shared" si="2"/>
        <v>0</v>
      </c>
      <c r="L21" s="4">
        <f t="shared" si="3"/>
        <v>591.8</v>
      </c>
      <c r="M21" s="5" t="s">
        <v>41</v>
      </c>
      <c r="N21" s="1" t="s">
        <v>42</v>
      </c>
      <c r="P21" s="1" t="s">
        <v>43</v>
      </c>
      <c r="Q21" s="1" t="s">
        <v>31</v>
      </c>
      <c r="R21" s="1" t="s">
        <v>44</v>
      </c>
    </row>
    <row r="22" hidden="1">
      <c r="A22" s="1">
        <v>7003351.0</v>
      </c>
      <c r="B22" s="1" t="s">
        <v>37</v>
      </c>
      <c r="C22" s="1">
        <v>6229696.0</v>
      </c>
      <c r="D22" s="1" t="s">
        <v>38</v>
      </c>
      <c r="E22" s="1" t="s">
        <v>39</v>
      </c>
      <c r="F22" s="1" t="s">
        <v>45</v>
      </c>
      <c r="G22" s="1">
        <v>3.9308698E7</v>
      </c>
      <c r="H22" s="1">
        <v>1688.1514</v>
      </c>
      <c r="I22" s="3">
        <f>IFERROR(__xludf.DUMMYFUNCTION("IFERROR(VALUE(REGEXEXTRACT(F22, ""(\d+)[-\s]?Cores?"")))"),8.0)</f>
        <v>8</v>
      </c>
      <c r="J22" s="3">
        <f t="shared" si="1"/>
        <v>1</v>
      </c>
      <c r="K22" s="1">
        <f t="shared" si="2"/>
        <v>0</v>
      </c>
      <c r="L22" s="4">
        <f t="shared" si="3"/>
        <v>591.8</v>
      </c>
      <c r="M22" s="5" t="s">
        <v>41</v>
      </c>
      <c r="N22" s="1" t="s">
        <v>42</v>
      </c>
      <c r="P22" s="1" t="s">
        <v>43</v>
      </c>
      <c r="Q22" s="1" t="s">
        <v>31</v>
      </c>
      <c r="R22" s="1" t="s">
        <v>44</v>
      </c>
    </row>
    <row r="23" hidden="1">
      <c r="A23" s="1">
        <v>7008621.0</v>
      </c>
      <c r="B23" s="1" t="s">
        <v>46</v>
      </c>
      <c r="C23" s="1">
        <v>6819536.0</v>
      </c>
      <c r="D23" s="1" t="s">
        <v>22</v>
      </c>
      <c r="E23" s="1" t="s">
        <v>23</v>
      </c>
      <c r="F23" s="1" t="s">
        <v>47</v>
      </c>
      <c r="G23" s="1">
        <v>3.1059001E7</v>
      </c>
      <c r="H23" s="1">
        <v>3174.929</v>
      </c>
      <c r="I23" s="3">
        <f>IFERROR(__xludf.DUMMYFUNCTION("IFERROR(VALUE(REGEXEXTRACT(F23, ""(\d+)[-\s]?Cores?"")))"),8.0)</f>
        <v>8</v>
      </c>
      <c r="J23" s="3">
        <f t="shared" si="1"/>
        <v>1</v>
      </c>
      <c r="K23" s="1">
        <f t="shared" si="2"/>
        <v>0</v>
      </c>
      <c r="L23" s="4">
        <f t="shared" si="3"/>
        <v>591.8</v>
      </c>
      <c r="M23" s="5" t="s">
        <v>41</v>
      </c>
      <c r="N23" s="1" t="s">
        <v>48</v>
      </c>
      <c r="O23" s="1" t="s">
        <v>49</v>
      </c>
      <c r="P23" s="1" t="s">
        <v>50</v>
      </c>
      <c r="R23" s="1" t="s">
        <v>51</v>
      </c>
    </row>
    <row r="24" hidden="1">
      <c r="A24" s="1">
        <v>7008621.0</v>
      </c>
      <c r="B24" s="1" t="s">
        <v>46</v>
      </c>
      <c r="C24" s="1">
        <v>6819536.0</v>
      </c>
      <c r="D24" s="1" t="s">
        <v>22</v>
      </c>
      <c r="E24" s="1" t="s">
        <v>23</v>
      </c>
      <c r="F24" s="1" t="s">
        <v>45</v>
      </c>
      <c r="G24" s="1">
        <v>3.1059006E7</v>
      </c>
      <c r="H24" s="1">
        <v>3174.929</v>
      </c>
      <c r="I24" s="3">
        <f>IFERROR(__xludf.DUMMYFUNCTION("IFERROR(VALUE(REGEXEXTRACT(F24, ""(\d+)[-\s]?Cores?"")))"),8.0)</f>
        <v>8</v>
      </c>
      <c r="J24" s="3">
        <f t="shared" si="1"/>
        <v>1</v>
      </c>
      <c r="K24" s="1">
        <f t="shared" si="2"/>
        <v>0</v>
      </c>
      <c r="L24" s="4">
        <f t="shared" si="3"/>
        <v>591.8</v>
      </c>
      <c r="M24" s="5" t="s">
        <v>41</v>
      </c>
      <c r="N24" s="1" t="s">
        <v>48</v>
      </c>
      <c r="O24" s="1" t="s">
        <v>49</v>
      </c>
      <c r="P24" s="1" t="s">
        <v>50</v>
      </c>
      <c r="R24" s="1" t="s">
        <v>51</v>
      </c>
    </row>
    <row r="25" hidden="1">
      <c r="A25" s="1">
        <v>7008621.0</v>
      </c>
      <c r="B25" s="1" t="s">
        <v>46</v>
      </c>
      <c r="C25" s="1">
        <v>6819537.0</v>
      </c>
      <c r="D25" s="1" t="s">
        <v>22</v>
      </c>
      <c r="E25" s="1" t="s">
        <v>23</v>
      </c>
      <c r="F25" s="1" t="s">
        <v>47</v>
      </c>
      <c r="G25" s="1">
        <v>3.1059024E7</v>
      </c>
      <c r="H25" s="1">
        <v>3174.929</v>
      </c>
      <c r="I25" s="3">
        <f>IFERROR(__xludf.DUMMYFUNCTION("IFERROR(VALUE(REGEXEXTRACT(F25, ""(\d+)[-\s]?Cores?"")))"),8.0)</f>
        <v>8</v>
      </c>
      <c r="J25" s="3">
        <f t="shared" si="1"/>
        <v>1</v>
      </c>
      <c r="K25" s="1">
        <f t="shared" si="2"/>
        <v>0</v>
      </c>
      <c r="L25" s="4">
        <f t="shared" si="3"/>
        <v>591.8</v>
      </c>
      <c r="M25" s="5" t="s">
        <v>41</v>
      </c>
      <c r="N25" s="1" t="s">
        <v>48</v>
      </c>
      <c r="O25" s="1" t="s">
        <v>49</v>
      </c>
      <c r="P25" s="1" t="s">
        <v>50</v>
      </c>
      <c r="R25" s="1" t="s">
        <v>51</v>
      </c>
    </row>
    <row r="26" hidden="1">
      <c r="A26" s="1">
        <v>7008621.0</v>
      </c>
      <c r="B26" s="1" t="s">
        <v>46</v>
      </c>
      <c r="C26" s="1">
        <v>6819537.0</v>
      </c>
      <c r="D26" s="1" t="s">
        <v>22</v>
      </c>
      <c r="E26" s="1" t="s">
        <v>23</v>
      </c>
      <c r="F26" s="1" t="s">
        <v>45</v>
      </c>
      <c r="G26" s="1">
        <v>3.1059029E7</v>
      </c>
      <c r="H26" s="1">
        <v>3174.929</v>
      </c>
      <c r="I26" s="3">
        <f>IFERROR(__xludf.DUMMYFUNCTION("IFERROR(VALUE(REGEXEXTRACT(F26, ""(\d+)[-\s]?Cores?"")))"),8.0)</f>
        <v>8</v>
      </c>
      <c r="J26" s="3">
        <f t="shared" si="1"/>
        <v>1</v>
      </c>
      <c r="K26" s="1">
        <f t="shared" si="2"/>
        <v>0</v>
      </c>
      <c r="L26" s="4">
        <f t="shared" si="3"/>
        <v>591.8</v>
      </c>
      <c r="M26" s="5" t="s">
        <v>41</v>
      </c>
      <c r="N26" s="1" t="s">
        <v>48</v>
      </c>
      <c r="O26" s="1" t="s">
        <v>49</v>
      </c>
      <c r="P26" s="1" t="s">
        <v>50</v>
      </c>
      <c r="R26" s="1" t="s">
        <v>51</v>
      </c>
    </row>
    <row r="27" hidden="1">
      <c r="A27" s="1">
        <v>7015128.0</v>
      </c>
      <c r="B27" s="1" t="s">
        <v>52</v>
      </c>
      <c r="C27" s="1">
        <v>6819554.0</v>
      </c>
      <c r="D27" s="1" t="s">
        <v>53</v>
      </c>
      <c r="E27" s="1" t="s">
        <v>23</v>
      </c>
      <c r="F27" s="1" t="s">
        <v>47</v>
      </c>
      <c r="G27" s="1">
        <v>3.1061538E7</v>
      </c>
      <c r="H27" s="1">
        <v>2333.4095</v>
      </c>
      <c r="I27" s="3">
        <f>IFERROR(__xludf.DUMMYFUNCTION("IFERROR(VALUE(REGEXEXTRACT(F27, ""(\d+)[-\s]?Cores?"")))"),8.0)</f>
        <v>8</v>
      </c>
      <c r="J27" s="3">
        <f t="shared" si="1"/>
        <v>1</v>
      </c>
      <c r="K27" s="1">
        <f t="shared" si="2"/>
        <v>0</v>
      </c>
      <c r="L27" s="4">
        <f t="shared" si="3"/>
        <v>591.8</v>
      </c>
      <c r="M27" s="5" t="s">
        <v>41</v>
      </c>
      <c r="N27" s="1" t="s">
        <v>30</v>
      </c>
      <c r="O27" s="1" t="s">
        <v>54</v>
      </c>
      <c r="R27" s="1" t="s">
        <v>55</v>
      </c>
    </row>
    <row r="28" hidden="1">
      <c r="A28" s="1">
        <v>7015128.0</v>
      </c>
      <c r="B28" s="1" t="s">
        <v>52</v>
      </c>
      <c r="C28" s="1">
        <v>6819554.0</v>
      </c>
      <c r="D28" s="1" t="s">
        <v>53</v>
      </c>
      <c r="E28" s="1" t="s">
        <v>23</v>
      </c>
      <c r="F28" s="1" t="s">
        <v>45</v>
      </c>
      <c r="G28" s="1">
        <v>3.1061555E7</v>
      </c>
      <c r="H28" s="1">
        <v>2333.4095</v>
      </c>
      <c r="I28" s="3">
        <f>IFERROR(__xludf.DUMMYFUNCTION("IFERROR(VALUE(REGEXEXTRACT(F28, ""(\d+)[-\s]?Cores?"")))"),8.0)</f>
        <v>8</v>
      </c>
      <c r="J28" s="3">
        <f t="shared" si="1"/>
        <v>1</v>
      </c>
      <c r="K28" s="1">
        <f t="shared" si="2"/>
        <v>0</v>
      </c>
      <c r="L28" s="4">
        <f t="shared" si="3"/>
        <v>591.8</v>
      </c>
      <c r="M28" s="5" t="s">
        <v>41</v>
      </c>
      <c r="N28" s="1" t="s">
        <v>30</v>
      </c>
      <c r="O28" s="1" t="s">
        <v>54</v>
      </c>
      <c r="R28" s="1" t="s">
        <v>55</v>
      </c>
    </row>
    <row r="29" hidden="1">
      <c r="A29" s="1">
        <v>7015128.0</v>
      </c>
      <c r="B29" s="1" t="s">
        <v>52</v>
      </c>
      <c r="C29" s="1">
        <v>6819555.0</v>
      </c>
      <c r="D29" s="1" t="s">
        <v>53</v>
      </c>
      <c r="E29" s="1" t="s">
        <v>56</v>
      </c>
      <c r="F29" s="1" t="s">
        <v>47</v>
      </c>
      <c r="G29" s="1">
        <v>3.106157E7</v>
      </c>
      <c r="H29" s="1">
        <v>2333.4095</v>
      </c>
      <c r="I29" s="3">
        <f>IFERROR(__xludf.DUMMYFUNCTION("IFERROR(VALUE(REGEXEXTRACT(F29, ""(\d+)[-\s]?Cores?"")))"),8.0)</f>
        <v>8</v>
      </c>
      <c r="J29" s="3">
        <f t="shared" si="1"/>
        <v>1</v>
      </c>
      <c r="K29" s="1">
        <f t="shared" si="2"/>
        <v>0</v>
      </c>
      <c r="L29" s="4">
        <f t="shared" si="3"/>
        <v>591.8</v>
      </c>
      <c r="M29" s="5" t="s">
        <v>41</v>
      </c>
      <c r="N29" s="1" t="s">
        <v>30</v>
      </c>
      <c r="O29" s="1" t="s">
        <v>54</v>
      </c>
      <c r="R29" s="1" t="s">
        <v>55</v>
      </c>
    </row>
    <row r="30" hidden="1">
      <c r="A30" s="1">
        <v>7015128.0</v>
      </c>
      <c r="B30" s="1" t="s">
        <v>52</v>
      </c>
      <c r="C30" s="1">
        <v>6819555.0</v>
      </c>
      <c r="D30" s="1" t="s">
        <v>53</v>
      </c>
      <c r="E30" s="1" t="s">
        <v>56</v>
      </c>
      <c r="F30" s="1" t="s">
        <v>45</v>
      </c>
      <c r="G30" s="1">
        <v>3.1061587E7</v>
      </c>
      <c r="H30" s="1">
        <v>2333.4095</v>
      </c>
      <c r="I30" s="3">
        <f>IFERROR(__xludf.DUMMYFUNCTION("IFERROR(VALUE(REGEXEXTRACT(F30, ""(\d+)[-\s]?Cores?"")))"),8.0)</f>
        <v>8</v>
      </c>
      <c r="J30" s="3">
        <f t="shared" si="1"/>
        <v>1</v>
      </c>
      <c r="K30" s="1">
        <f t="shared" si="2"/>
        <v>0</v>
      </c>
      <c r="L30" s="4">
        <f t="shared" si="3"/>
        <v>591.8</v>
      </c>
      <c r="M30" s="5" t="s">
        <v>41</v>
      </c>
      <c r="N30" s="1" t="s">
        <v>30</v>
      </c>
      <c r="O30" s="1" t="s">
        <v>54</v>
      </c>
      <c r="R30" s="1" t="s">
        <v>55</v>
      </c>
    </row>
    <row r="31" hidden="1">
      <c r="A31" s="1">
        <v>7007499.0</v>
      </c>
      <c r="B31" s="1" t="s">
        <v>57</v>
      </c>
      <c r="C31" s="1">
        <v>7290376.0</v>
      </c>
      <c r="D31" s="1" t="s">
        <v>22</v>
      </c>
      <c r="E31" s="1" t="s">
        <v>39</v>
      </c>
      <c r="F31" s="1" t="s">
        <v>47</v>
      </c>
      <c r="G31" s="1">
        <v>3.6125133E7</v>
      </c>
      <c r="H31" s="1">
        <v>3771.8909</v>
      </c>
      <c r="I31" s="3">
        <f>IFERROR(__xludf.DUMMYFUNCTION("IFERROR(VALUE(REGEXEXTRACT(F31, ""(\d+)[-\s]?Cores?"")))"),8.0)</f>
        <v>8</v>
      </c>
      <c r="J31" s="3">
        <f t="shared" si="1"/>
        <v>1</v>
      </c>
      <c r="K31" s="1">
        <f t="shared" si="2"/>
        <v>0</v>
      </c>
      <c r="L31" s="4">
        <f t="shared" si="3"/>
        <v>591.8</v>
      </c>
      <c r="M31" s="5" t="s">
        <v>41</v>
      </c>
      <c r="N31" s="1" t="s">
        <v>30</v>
      </c>
      <c r="Q31" s="1" t="s">
        <v>31</v>
      </c>
      <c r="R31" s="1" t="s">
        <v>26</v>
      </c>
    </row>
    <row r="32" hidden="1">
      <c r="A32" s="1">
        <v>7007499.0</v>
      </c>
      <c r="B32" s="1" t="s">
        <v>57</v>
      </c>
      <c r="C32" s="1">
        <v>7290377.0</v>
      </c>
      <c r="D32" s="1" t="s">
        <v>22</v>
      </c>
      <c r="E32" s="1" t="s">
        <v>39</v>
      </c>
      <c r="F32" s="1" t="s">
        <v>47</v>
      </c>
      <c r="G32" s="1">
        <v>3.6125163E7</v>
      </c>
      <c r="H32" s="1">
        <v>3771.8909</v>
      </c>
      <c r="I32" s="3">
        <f>IFERROR(__xludf.DUMMYFUNCTION("IFERROR(VALUE(REGEXEXTRACT(F32, ""(\d+)[-\s]?Cores?"")))"),8.0)</f>
        <v>8</v>
      </c>
      <c r="J32" s="3">
        <f t="shared" si="1"/>
        <v>1</v>
      </c>
      <c r="K32" s="1">
        <f t="shared" si="2"/>
        <v>0</v>
      </c>
      <c r="L32" s="4">
        <f t="shared" si="3"/>
        <v>591.8</v>
      </c>
      <c r="M32" s="5" t="s">
        <v>41</v>
      </c>
      <c r="N32" s="1" t="s">
        <v>30</v>
      </c>
      <c r="Q32" s="1" t="s">
        <v>31</v>
      </c>
      <c r="R32" s="1" t="s">
        <v>26</v>
      </c>
    </row>
    <row r="33" hidden="1">
      <c r="A33" s="1">
        <v>5960514.0</v>
      </c>
      <c r="B33" s="1" t="s">
        <v>58</v>
      </c>
      <c r="C33" s="1">
        <v>7337070.0</v>
      </c>
      <c r="D33" s="1" t="s">
        <v>22</v>
      </c>
      <c r="E33" s="1" t="s">
        <v>23</v>
      </c>
      <c r="F33" s="1" t="s">
        <v>47</v>
      </c>
      <c r="G33" s="1">
        <v>3.6777581E7</v>
      </c>
      <c r="H33" s="1">
        <v>1039.2525</v>
      </c>
      <c r="I33" s="3">
        <f>IFERROR(__xludf.DUMMYFUNCTION("IFERROR(VALUE(REGEXEXTRACT(F33, ""(\d+)[-\s]?Cores?"")))"),8.0)</f>
        <v>8</v>
      </c>
      <c r="J33" s="3">
        <f t="shared" si="1"/>
        <v>1</v>
      </c>
      <c r="K33" s="1">
        <f t="shared" si="2"/>
        <v>0</v>
      </c>
      <c r="L33" s="4">
        <f t="shared" si="3"/>
        <v>591.8</v>
      </c>
      <c r="M33" s="5" t="s">
        <v>41</v>
      </c>
      <c r="N33" s="1" t="s">
        <v>59</v>
      </c>
      <c r="Q33" s="1" t="s">
        <v>31</v>
      </c>
      <c r="R33" s="1" t="s">
        <v>60</v>
      </c>
    </row>
    <row r="34" hidden="1">
      <c r="A34" s="1">
        <v>5960514.0</v>
      </c>
      <c r="B34" s="1" t="s">
        <v>58</v>
      </c>
      <c r="C34" s="1">
        <v>7337071.0</v>
      </c>
      <c r="D34" s="1" t="s">
        <v>22</v>
      </c>
      <c r="E34" s="1" t="s">
        <v>23</v>
      </c>
      <c r="F34" s="1" t="s">
        <v>47</v>
      </c>
      <c r="G34" s="1">
        <v>3.677761E7</v>
      </c>
      <c r="H34" s="1">
        <v>1039.2525</v>
      </c>
      <c r="I34" s="3">
        <f>IFERROR(__xludf.DUMMYFUNCTION("IFERROR(VALUE(REGEXEXTRACT(F34, ""(\d+)[-\s]?Cores?"")))"),8.0)</f>
        <v>8</v>
      </c>
      <c r="J34" s="3">
        <f t="shared" si="1"/>
        <v>1</v>
      </c>
      <c r="K34" s="1">
        <f t="shared" si="2"/>
        <v>0</v>
      </c>
      <c r="L34" s="4">
        <f t="shared" si="3"/>
        <v>591.8</v>
      </c>
      <c r="M34" s="5" t="s">
        <v>41</v>
      </c>
      <c r="N34" s="1" t="s">
        <v>59</v>
      </c>
      <c r="Q34" s="1" t="s">
        <v>31</v>
      </c>
      <c r="R34" s="1" t="s">
        <v>60</v>
      </c>
    </row>
    <row r="35" hidden="1">
      <c r="A35" s="1">
        <v>7014318.0</v>
      </c>
      <c r="B35" s="1" t="s">
        <v>61</v>
      </c>
      <c r="C35" s="1">
        <v>7456977.0</v>
      </c>
      <c r="D35" s="1" t="s">
        <v>22</v>
      </c>
      <c r="E35" s="1" t="s">
        <v>23</v>
      </c>
      <c r="F35" s="1" t="s">
        <v>47</v>
      </c>
      <c r="G35" s="1">
        <v>3.7851619E7</v>
      </c>
      <c r="H35" s="1">
        <v>2494.3512</v>
      </c>
      <c r="I35" s="3">
        <f>IFERROR(__xludf.DUMMYFUNCTION("IFERROR(VALUE(REGEXEXTRACT(F35, ""(\d+)[-\s]?Cores?"")))"),8.0)</f>
        <v>8</v>
      </c>
      <c r="J35" s="3">
        <f t="shared" si="1"/>
        <v>1</v>
      </c>
      <c r="K35" s="1">
        <f t="shared" si="2"/>
        <v>0</v>
      </c>
      <c r="L35" s="4">
        <f t="shared" si="3"/>
        <v>591.8</v>
      </c>
      <c r="M35" s="5" t="s">
        <v>41</v>
      </c>
      <c r="N35" s="1" t="s">
        <v>30</v>
      </c>
      <c r="Q35" s="1" t="s">
        <v>31</v>
      </c>
      <c r="R35" s="1" t="s">
        <v>60</v>
      </c>
    </row>
    <row r="36" hidden="1">
      <c r="A36" s="1">
        <v>7014318.0</v>
      </c>
      <c r="B36" s="1" t="s">
        <v>61</v>
      </c>
      <c r="C36" s="1">
        <v>7456977.0</v>
      </c>
      <c r="D36" s="1" t="s">
        <v>22</v>
      </c>
      <c r="E36" s="1" t="s">
        <v>23</v>
      </c>
      <c r="F36" s="1" t="s">
        <v>45</v>
      </c>
      <c r="G36" s="1">
        <v>3.7851631E7</v>
      </c>
      <c r="H36" s="1">
        <v>2494.3512</v>
      </c>
      <c r="I36" s="3">
        <f>IFERROR(__xludf.DUMMYFUNCTION("IFERROR(VALUE(REGEXEXTRACT(F36, ""(\d+)[-\s]?Cores?"")))"),8.0)</f>
        <v>8</v>
      </c>
      <c r="J36" s="3">
        <f t="shared" si="1"/>
        <v>1</v>
      </c>
      <c r="K36" s="1">
        <f t="shared" si="2"/>
        <v>0</v>
      </c>
      <c r="L36" s="4">
        <f t="shared" si="3"/>
        <v>591.8</v>
      </c>
      <c r="M36" s="5" t="s">
        <v>41</v>
      </c>
      <c r="N36" s="1" t="s">
        <v>30</v>
      </c>
      <c r="Q36" s="1" t="s">
        <v>31</v>
      </c>
      <c r="R36" s="1" t="s">
        <v>60</v>
      </c>
    </row>
    <row r="37">
      <c r="A37" s="1">
        <v>7014791.0</v>
      </c>
      <c r="B37" s="1" t="s">
        <v>62</v>
      </c>
      <c r="C37" s="1">
        <v>7730302.0</v>
      </c>
      <c r="D37" s="1" t="s">
        <v>22</v>
      </c>
      <c r="E37" s="1" t="s">
        <v>23</v>
      </c>
      <c r="F37" s="1" t="s">
        <v>47</v>
      </c>
      <c r="G37" s="1">
        <v>4.2189459E7</v>
      </c>
      <c r="H37" s="1">
        <v>1753.9136</v>
      </c>
      <c r="I37" s="3">
        <f>IFERROR(__xludf.DUMMYFUNCTION("IFERROR(VALUE(REGEXEXTRACT(F37, ""(\d+)[-\s]?Cores?"")))"),8.0)</f>
        <v>8</v>
      </c>
      <c r="J37" s="3">
        <f t="shared" si="1"/>
        <v>1</v>
      </c>
      <c r="K37" s="1">
        <f t="shared" si="2"/>
        <v>0</v>
      </c>
      <c r="L37" s="4">
        <f t="shared" si="3"/>
        <v>591.8</v>
      </c>
      <c r="M37" s="5" t="s">
        <v>41</v>
      </c>
      <c r="N37" s="1" t="s">
        <v>33</v>
      </c>
      <c r="O37" s="1" t="s">
        <v>63</v>
      </c>
      <c r="Q37" s="1" t="s">
        <v>64</v>
      </c>
      <c r="R37" s="1" t="s">
        <v>65</v>
      </c>
    </row>
    <row r="38">
      <c r="A38" s="1">
        <v>7014791.0</v>
      </c>
      <c r="B38" s="1" t="s">
        <v>62</v>
      </c>
      <c r="C38" s="1">
        <v>7730302.0</v>
      </c>
      <c r="D38" s="1" t="s">
        <v>22</v>
      </c>
      <c r="E38" s="1" t="s">
        <v>23</v>
      </c>
      <c r="F38" s="1" t="s">
        <v>45</v>
      </c>
      <c r="G38" s="1">
        <v>4.2189463E7</v>
      </c>
      <c r="H38" s="1">
        <v>1753.9136</v>
      </c>
      <c r="I38" s="3">
        <f>IFERROR(__xludf.DUMMYFUNCTION("IFERROR(VALUE(REGEXEXTRACT(F38, ""(\d+)[-\s]?Cores?"")))"),8.0)</f>
        <v>8</v>
      </c>
      <c r="J38" s="3">
        <f t="shared" si="1"/>
        <v>1</v>
      </c>
      <c r="K38" s="1">
        <f t="shared" si="2"/>
        <v>0</v>
      </c>
      <c r="L38" s="4">
        <f t="shared" si="3"/>
        <v>591.8</v>
      </c>
      <c r="M38" s="5" t="s">
        <v>41</v>
      </c>
      <c r="N38" s="1" t="s">
        <v>33</v>
      </c>
      <c r="O38" s="1" t="s">
        <v>63</v>
      </c>
      <c r="Q38" s="1" t="s">
        <v>64</v>
      </c>
      <c r="R38" s="1" t="s">
        <v>65</v>
      </c>
    </row>
    <row r="39">
      <c r="A39" s="1">
        <v>7014791.0</v>
      </c>
      <c r="B39" s="1" t="s">
        <v>62</v>
      </c>
      <c r="C39" s="1">
        <v>7730303.0</v>
      </c>
      <c r="D39" s="1" t="s">
        <v>22</v>
      </c>
      <c r="E39" s="1" t="s">
        <v>23</v>
      </c>
      <c r="F39" s="1" t="s">
        <v>47</v>
      </c>
      <c r="G39" s="1">
        <v>4.2189482E7</v>
      </c>
      <c r="H39" s="1">
        <v>1782.0472</v>
      </c>
      <c r="I39" s="3">
        <f>IFERROR(__xludf.DUMMYFUNCTION("IFERROR(VALUE(REGEXEXTRACT(F39, ""(\d+)[-\s]?Cores?"")))"),8.0)</f>
        <v>8</v>
      </c>
      <c r="J39" s="3">
        <f t="shared" si="1"/>
        <v>1</v>
      </c>
      <c r="K39" s="1">
        <f t="shared" si="2"/>
        <v>0</v>
      </c>
      <c r="L39" s="4">
        <f t="shared" si="3"/>
        <v>591.8</v>
      </c>
      <c r="M39" s="5" t="s">
        <v>41</v>
      </c>
      <c r="N39" s="1" t="s">
        <v>33</v>
      </c>
      <c r="O39" s="1" t="s">
        <v>63</v>
      </c>
      <c r="Q39" s="1" t="s">
        <v>64</v>
      </c>
      <c r="R39" s="1" t="s">
        <v>65</v>
      </c>
    </row>
    <row r="40">
      <c r="A40" s="1">
        <v>7014791.0</v>
      </c>
      <c r="B40" s="1" t="s">
        <v>62</v>
      </c>
      <c r="C40" s="1">
        <v>7730303.0</v>
      </c>
      <c r="D40" s="1" t="s">
        <v>22</v>
      </c>
      <c r="E40" s="1" t="s">
        <v>23</v>
      </c>
      <c r="F40" s="1" t="s">
        <v>45</v>
      </c>
      <c r="G40" s="1">
        <v>4.2189486E7</v>
      </c>
      <c r="H40" s="1">
        <v>1782.0472</v>
      </c>
      <c r="I40" s="3">
        <f>IFERROR(__xludf.DUMMYFUNCTION("IFERROR(VALUE(REGEXEXTRACT(F40, ""(\d+)[-\s]?Cores?"")))"),8.0)</f>
        <v>8</v>
      </c>
      <c r="J40" s="3">
        <f t="shared" si="1"/>
        <v>1</v>
      </c>
      <c r="K40" s="1">
        <f t="shared" si="2"/>
        <v>0</v>
      </c>
      <c r="L40" s="4">
        <f t="shared" si="3"/>
        <v>591.8</v>
      </c>
      <c r="M40" s="5" t="s">
        <v>41</v>
      </c>
      <c r="N40" s="1" t="s">
        <v>33</v>
      </c>
      <c r="O40" s="1" t="s">
        <v>63</v>
      </c>
      <c r="Q40" s="1" t="s">
        <v>64</v>
      </c>
      <c r="R40" s="1" t="s">
        <v>65</v>
      </c>
    </row>
    <row r="41" hidden="1">
      <c r="A41" s="1">
        <v>5711523.0</v>
      </c>
      <c r="B41" s="1" t="s">
        <v>66</v>
      </c>
      <c r="C41" s="1">
        <v>7750604.0</v>
      </c>
      <c r="D41" s="1" t="s">
        <v>22</v>
      </c>
      <c r="E41" s="1" t="s">
        <v>23</v>
      </c>
      <c r="F41" s="1" t="s">
        <v>47</v>
      </c>
      <c r="G41" s="1">
        <v>4.2498421E7</v>
      </c>
      <c r="H41" s="1">
        <v>2893.1081</v>
      </c>
      <c r="I41" s="3">
        <f>IFERROR(__xludf.DUMMYFUNCTION("IFERROR(VALUE(REGEXEXTRACT(F41, ""(\d+)[-\s]?Cores?"")))"),8.0)</f>
        <v>8</v>
      </c>
      <c r="J41" s="3">
        <f t="shared" si="1"/>
        <v>1</v>
      </c>
      <c r="K41" s="1">
        <f t="shared" si="2"/>
        <v>0</v>
      </c>
      <c r="L41" s="4">
        <f t="shared" si="3"/>
        <v>591.8</v>
      </c>
      <c r="M41" s="5" t="s">
        <v>41</v>
      </c>
      <c r="N41" s="1" t="s">
        <v>59</v>
      </c>
    </row>
    <row r="42" hidden="1">
      <c r="A42" s="1">
        <v>5711523.0</v>
      </c>
      <c r="B42" s="1" t="s">
        <v>66</v>
      </c>
      <c r="C42" s="1">
        <v>7750604.0</v>
      </c>
      <c r="D42" s="1" t="s">
        <v>22</v>
      </c>
      <c r="E42" s="1" t="s">
        <v>23</v>
      </c>
      <c r="F42" s="1" t="s">
        <v>47</v>
      </c>
      <c r="G42" s="1">
        <v>4.2498422E7</v>
      </c>
      <c r="H42" s="1">
        <v>2893.1081</v>
      </c>
      <c r="I42" s="3">
        <f>IFERROR(__xludf.DUMMYFUNCTION("IFERROR(VALUE(REGEXEXTRACT(F42, ""(\d+)[-\s]?Cores?"")))"),8.0)</f>
        <v>8</v>
      </c>
      <c r="J42" s="3">
        <f t="shared" si="1"/>
        <v>1</v>
      </c>
      <c r="K42" s="1">
        <f t="shared" si="2"/>
        <v>0</v>
      </c>
      <c r="L42" s="4">
        <f t="shared" si="3"/>
        <v>591.8</v>
      </c>
      <c r="M42" s="5" t="s">
        <v>41</v>
      </c>
      <c r="N42" s="1" t="s">
        <v>59</v>
      </c>
    </row>
    <row r="43" hidden="1">
      <c r="A43" s="1">
        <v>5711523.0</v>
      </c>
      <c r="B43" s="1" t="s">
        <v>66</v>
      </c>
      <c r="C43" s="1">
        <v>7750605.0</v>
      </c>
      <c r="D43" s="1" t="s">
        <v>22</v>
      </c>
      <c r="E43" s="1" t="s">
        <v>23</v>
      </c>
      <c r="F43" s="1" t="s">
        <v>47</v>
      </c>
      <c r="G43" s="1">
        <v>4.2498441E7</v>
      </c>
      <c r="H43" s="1">
        <v>2893.1081</v>
      </c>
      <c r="I43" s="3">
        <f>IFERROR(__xludf.DUMMYFUNCTION("IFERROR(VALUE(REGEXEXTRACT(F43, ""(\d+)[-\s]?Cores?"")))"),8.0)</f>
        <v>8</v>
      </c>
      <c r="J43" s="3">
        <f t="shared" si="1"/>
        <v>1</v>
      </c>
      <c r="K43" s="1">
        <f t="shared" si="2"/>
        <v>0</v>
      </c>
      <c r="L43" s="4">
        <f t="shared" si="3"/>
        <v>591.8</v>
      </c>
      <c r="M43" s="5" t="s">
        <v>41</v>
      </c>
      <c r="N43" s="1" t="s">
        <v>59</v>
      </c>
    </row>
    <row r="44" hidden="1">
      <c r="A44" s="1">
        <v>5711523.0</v>
      </c>
      <c r="B44" s="1" t="s">
        <v>66</v>
      </c>
      <c r="C44" s="1">
        <v>7750605.0</v>
      </c>
      <c r="D44" s="1" t="s">
        <v>22</v>
      </c>
      <c r="E44" s="1" t="s">
        <v>23</v>
      </c>
      <c r="F44" s="1" t="s">
        <v>47</v>
      </c>
      <c r="G44" s="1">
        <v>4.2498442E7</v>
      </c>
      <c r="H44" s="1">
        <v>2893.1081</v>
      </c>
      <c r="I44" s="3">
        <f>IFERROR(__xludf.DUMMYFUNCTION("IFERROR(VALUE(REGEXEXTRACT(F44, ""(\d+)[-\s]?Cores?"")))"),8.0)</f>
        <v>8</v>
      </c>
      <c r="J44" s="3">
        <f t="shared" si="1"/>
        <v>1</v>
      </c>
      <c r="K44" s="1">
        <f t="shared" si="2"/>
        <v>0</v>
      </c>
      <c r="L44" s="4">
        <f t="shared" si="3"/>
        <v>591.8</v>
      </c>
      <c r="M44" s="5" t="s">
        <v>41</v>
      </c>
      <c r="N44" s="1" t="s">
        <v>59</v>
      </c>
    </row>
    <row r="45" hidden="1">
      <c r="A45" s="1">
        <v>7014870.0</v>
      </c>
      <c r="B45" s="1" t="s">
        <v>67</v>
      </c>
      <c r="C45" s="1">
        <v>7750639.0</v>
      </c>
      <c r="D45" s="1" t="s">
        <v>22</v>
      </c>
      <c r="E45" s="1" t="s">
        <v>23</v>
      </c>
      <c r="F45" s="1" t="s">
        <v>47</v>
      </c>
      <c r="G45" s="1">
        <v>4.2503462E7</v>
      </c>
      <c r="H45" s="1">
        <v>3368.1743</v>
      </c>
      <c r="I45" s="3">
        <f>IFERROR(__xludf.DUMMYFUNCTION("IFERROR(VALUE(REGEXEXTRACT(F45, ""(\d+)[-\s]?Cores?"")))"),8.0)</f>
        <v>8</v>
      </c>
      <c r="J45" s="3">
        <f t="shared" si="1"/>
        <v>1</v>
      </c>
      <c r="K45" s="1">
        <f t="shared" si="2"/>
        <v>0</v>
      </c>
      <c r="L45" s="4">
        <f t="shared" si="3"/>
        <v>591.8</v>
      </c>
      <c r="M45" s="5" t="s">
        <v>41</v>
      </c>
      <c r="N45" s="1" t="s">
        <v>30</v>
      </c>
      <c r="Q45" s="1" t="s">
        <v>31</v>
      </c>
      <c r="R45" s="1" t="s">
        <v>68</v>
      </c>
    </row>
    <row r="46" hidden="1">
      <c r="A46" s="1">
        <v>7014870.0</v>
      </c>
      <c r="B46" s="1" t="s">
        <v>67</v>
      </c>
      <c r="C46" s="1">
        <v>7750639.0</v>
      </c>
      <c r="D46" s="1" t="s">
        <v>22</v>
      </c>
      <c r="E46" s="1" t="s">
        <v>23</v>
      </c>
      <c r="F46" s="1" t="s">
        <v>45</v>
      </c>
      <c r="G46" s="1">
        <v>4.2503467E7</v>
      </c>
      <c r="H46" s="1">
        <v>3368.1743</v>
      </c>
      <c r="I46" s="3">
        <f>IFERROR(__xludf.DUMMYFUNCTION("IFERROR(VALUE(REGEXEXTRACT(F46, ""(\d+)[-\s]?Cores?"")))"),8.0)</f>
        <v>8</v>
      </c>
      <c r="J46" s="3">
        <f t="shared" si="1"/>
        <v>1</v>
      </c>
      <c r="K46" s="1">
        <f t="shared" si="2"/>
        <v>0</v>
      </c>
      <c r="L46" s="4">
        <f t="shared" si="3"/>
        <v>591.8</v>
      </c>
      <c r="M46" s="5" t="s">
        <v>41</v>
      </c>
      <c r="N46" s="1" t="s">
        <v>30</v>
      </c>
      <c r="Q46" s="1" t="s">
        <v>31</v>
      </c>
      <c r="R46" s="1" t="s">
        <v>68</v>
      </c>
    </row>
    <row r="47" hidden="1">
      <c r="A47" s="1">
        <v>7014870.0</v>
      </c>
      <c r="B47" s="1" t="s">
        <v>67</v>
      </c>
      <c r="C47" s="1">
        <v>7750640.0</v>
      </c>
      <c r="D47" s="1" t="s">
        <v>22</v>
      </c>
      <c r="E47" s="1" t="s">
        <v>23</v>
      </c>
      <c r="F47" s="1" t="s">
        <v>47</v>
      </c>
      <c r="G47" s="1">
        <v>4.2503487E7</v>
      </c>
      <c r="H47" s="1">
        <v>3368.1743</v>
      </c>
      <c r="I47" s="3">
        <f>IFERROR(__xludf.DUMMYFUNCTION("IFERROR(VALUE(REGEXEXTRACT(F47, ""(\d+)[-\s]?Cores?"")))"),8.0)</f>
        <v>8</v>
      </c>
      <c r="J47" s="3">
        <f t="shared" si="1"/>
        <v>1</v>
      </c>
      <c r="K47" s="1">
        <f t="shared" si="2"/>
        <v>0</v>
      </c>
      <c r="L47" s="4">
        <f t="shared" si="3"/>
        <v>591.8</v>
      </c>
      <c r="M47" s="5" t="s">
        <v>41</v>
      </c>
      <c r="N47" s="1" t="s">
        <v>30</v>
      </c>
      <c r="Q47" s="1" t="s">
        <v>31</v>
      </c>
      <c r="R47" s="1" t="s">
        <v>68</v>
      </c>
    </row>
    <row r="48" hidden="1">
      <c r="A48" s="1">
        <v>7014870.0</v>
      </c>
      <c r="B48" s="1" t="s">
        <v>67</v>
      </c>
      <c r="C48" s="1">
        <v>7750640.0</v>
      </c>
      <c r="D48" s="1" t="s">
        <v>22</v>
      </c>
      <c r="E48" s="1" t="s">
        <v>23</v>
      </c>
      <c r="F48" s="1" t="s">
        <v>45</v>
      </c>
      <c r="G48" s="1">
        <v>4.2503492E7</v>
      </c>
      <c r="H48" s="1">
        <v>3368.1743</v>
      </c>
      <c r="I48" s="3">
        <f>IFERROR(__xludf.DUMMYFUNCTION("IFERROR(VALUE(REGEXEXTRACT(F48, ""(\d+)[-\s]?Cores?"")))"),8.0)</f>
        <v>8</v>
      </c>
      <c r="J48" s="3">
        <f t="shared" si="1"/>
        <v>1</v>
      </c>
      <c r="K48" s="1">
        <f t="shared" si="2"/>
        <v>0</v>
      </c>
      <c r="L48" s="4">
        <f t="shared" si="3"/>
        <v>591.8</v>
      </c>
      <c r="M48" s="5" t="s">
        <v>41</v>
      </c>
      <c r="N48" s="1" t="s">
        <v>30</v>
      </c>
      <c r="Q48" s="1" t="s">
        <v>31</v>
      </c>
      <c r="R48" s="1" t="s">
        <v>68</v>
      </c>
    </row>
    <row r="49" hidden="1">
      <c r="A49" s="1">
        <v>7003351.0</v>
      </c>
      <c r="B49" s="1" t="s">
        <v>37</v>
      </c>
      <c r="C49" s="1">
        <v>7931593.0</v>
      </c>
      <c r="D49" s="1" t="s">
        <v>69</v>
      </c>
      <c r="E49" s="1" t="s">
        <v>56</v>
      </c>
      <c r="F49" s="1" t="s">
        <v>47</v>
      </c>
      <c r="G49" s="1">
        <v>4.3708238E7</v>
      </c>
      <c r="H49" s="1">
        <v>1688.1514</v>
      </c>
      <c r="I49" s="3">
        <f>IFERROR(__xludf.DUMMYFUNCTION("IFERROR(VALUE(REGEXEXTRACT(F49, ""(\d+)[-\s]?Cores?"")))"),8.0)</f>
        <v>8</v>
      </c>
      <c r="J49" s="3">
        <f t="shared" si="1"/>
        <v>1</v>
      </c>
      <c r="K49" s="1">
        <f t="shared" si="2"/>
        <v>0</v>
      </c>
      <c r="L49" s="4">
        <f t="shared" si="3"/>
        <v>591.8</v>
      </c>
      <c r="M49" s="5" t="s">
        <v>41</v>
      </c>
      <c r="N49" s="1" t="s">
        <v>42</v>
      </c>
      <c r="P49" s="1" t="s">
        <v>43</v>
      </c>
      <c r="R49" s="1" t="s">
        <v>70</v>
      </c>
    </row>
    <row r="50" hidden="1">
      <c r="A50" s="1">
        <v>7014638.0</v>
      </c>
      <c r="B50" s="1" t="s">
        <v>71</v>
      </c>
      <c r="C50" s="1">
        <v>6483387.0</v>
      </c>
      <c r="D50" s="1" t="s">
        <v>22</v>
      </c>
      <c r="E50" s="1" t="s">
        <v>23</v>
      </c>
      <c r="F50" s="1" t="s">
        <v>72</v>
      </c>
      <c r="G50" s="1">
        <v>2.8132866E7</v>
      </c>
      <c r="H50" s="1">
        <v>2661.6242</v>
      </c>
      <c r="I50" s="3">
        <f>IFERROR(__xludf.DUMMYFUNCTION("IFERROR(VALUE(REGEXEXTRACT(F50, ""(\d+)[-\s]?Cores?"")))"),12.0)</f>
        <v>12</v>
      </c>
      <c r="J50" s="3">
        <f t="shared" si="1"/>
        <v>1</v>
      </c>
      <c r="K50" s="1">
        <f t="shared" si="2"/>
        <v>0</v>
      </c>
      <c r="L50" s="4">
        <f t="shared" si="3"/>
        <v>591.8</v>
      </c>
      <c r="M50" s="5">
        <v>7.0</v>
      </c>
      <c r="N50" s="1" t="s">
        <v>30</v>
      </c>
      <c r="P50" s="1" t="s">
        <v>31</v>
      </c>
      <c r="Q50" s="1" t="s">
        <v>73</v>
      </c>
      <c r="R50" s="1" t="s">
        <v>74</v>
      </c>
    </row>
    <row r="51" hidden="1">
      <c r="A51" s="1">
        <v>7014638.0</v>
      </c>
      <c r="B51" s="1" t="s">
        <v>71</v>
      </c>
      <c r="C51" s="1">
        <v>6483387.0</v>
      </c>
      <c r="D51" s="1" t="s">
        <v>22</v>
      </c>
      <c r="E51" s="1" t="s">
        <v>23</v>
      </c>
      <c r="F51" s="1" t="s">
        <v>72</v>
      </c>
      <c r="G51" s="1">
        <v>2.8132867E7</v>
      </c>
      <c r="H51" s="1">
        <v>2661.6242</v>
      </c>
      <c r="I51" s="3">
        <f>IFERROR(__xludf.DUMMYFUNCTION("IFERROR(VALUE(REGEXEXTRACT(F51, ""(\d+)[-\s]?Cores?"")))"),12.0)</f>
        <v>12</v>
      </c>
      <c r="J51" s="3">
        <f t="shared" si="1"/>
        <v>1</v>
      </c>
      <c r="K51" s="1">
        <f t="shared" si="2"/>
        <v>0</v>
      </c>
      <c r="L51" s="4">
        <f t="shared" si="3"/>
        <v>591.8</v>
      </c>
      <c r="M51" s="5">
        <v>7.0</v>
      </c>
      <c r="N51" s="1" t="s">
        <v>30</v>
      </c>
      <c r="P51" s="1" t="s">
        <v>31</v>
      </c>
      <c r="Q51" s="1" t="s">
        <v>73</v>
      </c>
      <c r="R51" s="1" t="s">
        <v>74</v>
      </c>
    </row>
    <row r="52" hidden="1">
      <c r="A52" s="1">
        <v>7014638.0</v>
      </c>
      <c r="B52" s="1" t="s">
        <v>71</v>
      </c>
      <c r="C52" s="1">
        <v>6483388.0</v>
      </c>
      <c r="D52" s="1" t="s">
        <v>22</v>
      </c>
      <c r="E52" s="1" t="s">
        <v>23</v>
      </c>
      <c r="F52" s="1" t="s">
        <v>72</v>
      </c>
      <c r="G52" s="1">
        <v>2.813289E7</v>
      </c>
      <c r="H52" s="1">
        <v>2661.6242</v>
      </c>
      <c r="I52" s="3">
        <f>IFERROR(__xludf.DUMMYFUNCTION("IFERROR(VALUE(REGEXEXTRACT(F52, ""(\d+)[-\s]?Cores?"")))"),12.0)</f>
        <v>12</v>
      </c>
      <c r="J52" s="3">
        <f t="shared" si="1"/>
        <v>1</v>
      </c>
      <c r="K52" s="1">
        <f t="shared" si="2"/>
        <v>0</v>
      </c>
      <c r="L52" s="4">
        <f t="shared" si="3"/>
        <v>591.8</v>
      </c>
      <c r="M52" s="5">
        <v>7.0</v>
      </c>
      <c r="N52" s="1" t="s">
        <v>30</v>
      </c>
      <c r="P52" s="1" t="s">
        <v>31</v>
      </c>
      <c r="Q52" s="1" t="s">
        <v>73</v>
      </c>
      <c r="R52" s="1" t="s">
        <v>74</v>
      </c>
    </row>
    <row r="53" hidden="1">
      <c r="A53" s="1">
        <v>7014638.0</v>
      </c>
      <c r="B53" s="1" t="s">
        <v>71</v>
      </c>
      <c r="C53" s="1">
        <v>6483388.0</v>
      </c>
      <c r="D53" s="1" t="s">
        <v>22</v>
      </c>
      <c r="E53" s="1" t="s">
        <v>23</v>
      </c>
      <c r="F53" s="1" t="s">
        <v>72</v>
      </c>
      <c r="G53" s="1">
        <v>2.8132891E7</v>
      </c>
      <c r="H53" s="1">
        <v>2661.6242</v>
      </c>
      <c r="I53" s="3">
        <f>IFERROR(__xludf.DUMMYFUNCTION("IFERROR(VALUE(REGEXEXTRACT(F53, ""(\d+)[-\s]?Cores?"")))"),12.0)</f>
        <v>12</v>
      </c>
      <c r="J53" s="3">
        <f t="shared" si="1"/>
        <v>1</v>
      </c>
      <c r="K53" s="1">
        <f t="shared" si="2"/>
        <v>0</v>
      </c>
      <c r="L53" s="4">
        <f t="shared" si="3"/>
        <v>591.8</v>
      </c>
      <c r="M53" s="5">
        <v>7.0</v>
      </c>
      <c r="N53" s="1" t="s">
        <v>30</v>
      </c>
      <c r="P53" s="1" t="s">
        <v>31</v>
      </c>
      <c r="Q53" s="1" t="s">
        <v>73</v>
      </c>
      <c r="R53" s="1" t="s">
        <v>74</v>
      </c>
    </row>
    <row r="54" hidden="1">
      <c r="A54" s="1">
        <v>7014638.0</v>
      </c>
      <c r="B54" s="1" t="s">
        <v>71</v>
      </c>
      <c r="C54" s="1">
        <v>6483389.0</v>
      </c>
      <c r="D54" s="1" t="s">
        <v>22</v>
      </c>
      <c r="E54" s="1" t="s">
        <v>23</v>
      </c>
      <c r="F54" s="1" t="s">
        <v>72</v>
      </c>
      <c r="G54" s="1">
        <v>2.8132914E7</v>
      </c>
      <c r="H54" s="1">
        <v>2661.6242</v>
      </c>
      <c r="I54" s="3">
        <f>IFERROR(__xludf.DUMMYFUNCTION("IFERROR(VALUE(REGEXEXTRACT(F54, ""(\d+)[-\s]?Cores?"")))"),12.0)</f>
        <v>12</v>
      </c>
      <c r="J54" s="3">
        <f t="shared" si="1"/>
        <v>1</v>
      </c>
      <c r="K54" s="1">
        <f t="shared" si="2"/>
        <v>0</v>
      </c>
      <c r="L54" s="4">
        <f t="shared" si="3"/>
        <v>591.8</v>
      </c>
      <c r="M54" s="5">
        <v>7.0</v>
      </c>
      <c r="N54" s="1" t="s">
        <v>30</v>
      </c>
      <c r="P54" s="1" t="s">
        <v>31</v>
      </c>
      <c r="Q54" s="1" t="s">
        <v>73</v>
      </c>
      <c r="R54" s="1" t="s">
        <v>74</v>
      </c>
    </row>
    <row r="55" hidden="1">
      <c r="A55" s="1">
        <v>7014638.0</v>
      </c>
      <c r="B55" s="1" t="s">
        <v>71</v>
      </c>
      <c r="C55" s="1">
        <v>6483389.0</v>
      </c>
      <c r="D55" s="1" t="s">
        <v>22</v>
      </c>
      <c r="E55" s="1" t="s">
        <v>23</v>
      </c>
      <c r="F55" s="1" t="s">
        <v>72</v>
      </c>
      <c r="G55" s="1">
        <v>2.8132915E7</v>
      </c>
      <c r="H55" s="1">
        <v>2661.6242</v>
      </c>
      <c r="I55" s="3">
        <f>IFERROR(__xludf.DUMMYFUNCTION("IFERROR(VALUE(REGEXEXTRACT(F55, ""(\d+)[-\s]?Cores?"")))"),12.0)</f>
        <v>12</v>
      </c>
      <c r="J55" s="3">
        <f t="shared" si="1"/>
        <v>1</v>
      </c>
      <c r="K55" s="1">
        <f t="shared" si="2"/>
        <v>0</v>
      </c>
      <c r="L55" s="4">
        <f t="shared" si="3"/>
        <v>591.8</v>
      </c>
      <c r="M55" s="5">
        <v>7.0</v>
      </c>
      <c r="N55" s="1" t="s">
        <v>30</v>
      </c>
      <c r="P55" s="1" t="s">
        <v>31</v>
      </c>
      <c r="Q55" s="1" t="s">
        <v>73</v>
      </c>
      <c r="R55" s="1" t="s">
        <v>74</v>
      </c>
    </row>
    <row r="56" hidden="1">
      <c r="A56" s="1">
        <v>7006911.0</v>
      </c>
      <c r="B56" s="1" t="s">
        <v>75</v>
      </c>
      <c r="C56" s="1">
        <v>7297762.0</v>
      </c>
      <c r="D56" s="1" t="s">
        <v>22</v>
      </c>
      <c r="E56" s="1" t="s">
        <v>23</v>
      </c>
      <c r="F56" s="1" t="s">
        <v>72</v>
      </c>
      <c r="G56" s="1">
        <v>3.6133208E7</v>
      </c>
      <c r="H56" s="1">
        <v>4419.9241</v>
      </c>
      <c r="I56" s="3">
        <f>IFERROR(__xludf.DUMMYFUNCTION("IFERROR(VALUE(REGEXEXTRACT(F56, ""(\d+)[-\s]?Cores?"")))"),12.0)</f>
        <v>12</v>
      </c>
      <c r="J56" s="3">
        <f t="shared" si="1"/>
        <v>1</v>
      </c>
      <c r="K56" s="1">
        <f t="shared" si="2"/>
        <v>0</v>
      </c>
      <c r="L56" s="4">
        <f t="shared" si="3"/>
        <v>591.8</v>
      </c>
      <c r="M56" s="5">
        <v>7.0</v>
      </c>
      <c r="N56" s="1" t="s">
        <v>76</v>
      </c>
    </row>
    <row r="57" hidden="1">
      <c r="A57" s="1">
        <v>7006911.0</v>
      </c>
      <c r="B57" s="1" t="s">
        <v>75</v>
      </c>
      <c r="C57" s="1">
        <v>7297762.0</v>
      </c>
      <c r="D57" s="1" t="s">
        <v>22</v>
      </c>
      <c r="E57" s="1" t="s">
        <v>23</v>
      </c>
      <c r="F57" s="1" t="s">
        <v>72</v>
      </c>
      <c r="G57" s="1">
        <v>3.6133209E7</v>
      </c>
      <c r="H57" s="1">
        <v>4419.9241</v>
      </c>
      <c r="I57" s="3">
        <f>IFERROR(__xludf.DUMMYFUNCTION("IFERROR(VALUE(REGEXEXTRACT(F57, ""(\d+)[-\s]?Cores?"")))"),12.0)</f>
        <v>12</v>
      </c>
      <c r="J57" s="3">
        <f t="shared" si="1"/>
        <v>1</v>
      </c>
      <c r="K57" s="1">
        <f t="shared" si="2"/>
        <v>0</v>
      </c>
      <c r="L57" s="4">
        <f t="shared" si="3"/>
        <v>591.8</v>
      </c>
      <c r="M57" s="5">
        <v>7.0</v>
      </c>
      <c r="N57" s="1" t="s">
        <v>76</v>
      </c>
    </row>
    <row r="58" hidden="1">
      <c r="A58" s="1">
        <v>7006911.0</v>
      </c>
      <c r="B58" s="1" t="s">
        <v>75</v>
      </c>
      <c r="C58" s="1">
        <v>7297763.0</v>
      </c>
      <c r="D58" s="1" t="s">
        <v>22</v>
      </c>
      <c r="E58" s="1" t="s">
        <v>23</v>
      </c>
      <c r="F58" s="1" t="s">
        <v>72</v>
      </c>
      <c r="G58" s="1">
        <v>3.6133236E7</v>
      </c>
      <c r="H58" s="1">
        <v>4419.9241</v>
      </c>
      <c r="I58" s="3">
        <f>IFERROR(__xludf.DUMMYFUNCTION("IFERROR(VALUE(REGEXEXTRACT(F58, ""(\d+)[-\s]?Cores?"")))"),12.0)</f>
        <v>12</v>
      </c>
      <c r="J58" s="3">
        <f t="shared" si="1"/>
        <v>1</v>
      </c>
      <c r="K58" s="1">
        <f t="shared" si="2"/>
        <v>0</v>
      </c>
      <c r="L58" s="4">
        <f t="shared" si="3"/>
        <v>591.8</v>
      </c>
      <c r="M58" s="5">
        <v>7.0</v>
      </c>
      <c r="N58" s="1" t="s">
        <v>76</v>
      </c>
    </row>
    <row r="59" hidden="1">
      <c r="A59" s="1">
        <v>7006911.0</v>
      </c>
      <c r="B59" s="1" t="s">
        <v>75</v>
      </c>
      <c r="C59" s="1">
        <v>7297763.0</v>
      </c>
      <c r="D59" s="1" t="s">
        <v>22</v>
      </c>
      <c r="E59" s="1" t="s">
        <v>23</v>
      </c>
      <c r="F59" s="1" t="s">
        <v>72</v>
      </c>
      <c r="G59" s="1">
        <v>3.6133237E7</v>
      </c>
      <c r="H59" s="1">
        <v>4419.9241</v>
      </c>
      <c r="I59" s="3">
        <f>IFERROR(__xludf.DUMMYFUNCTION("IFERROR(VALUE(REGEXEXTRACT(F59, ""(\d+)[-\s]?Cores?"")))"),12.0)</f>
        <v>12</v>
      </c>
      <c r="J59" s="3">
        <f t="shared" si="1"/>
        <v>1</v>
      </c>
      <c r="K59" s="1">
        <f t="shared" si="2"/>
        <v>0</v>
      </c>
      <c r="L59" s="4">
        <f t="shared" si="3"/>
        <v>591.8</v>
      </c>
      <c r="M59" s="5">
        <v>7.0</v>
      </c>
      <c r="N59" s="1" t="s">
        <v>76</v>
      </c>
    </row>
    <row r="60" hidden="1">
      <c r="A60" s="1">
        <v>7006911.0</v>
      </c>
      <c r="B60" s="1" t="s">
        <v>75</v>
      </c>
      <c r="C60" s="1">
        <v>7297764.0</v>
      </c>
      <c r="D60" s="1" t="s">
        <v>22</v>
      </c>
      <c r="E60" s="1" t="s">
        <v>23</v>
      </c>
      <c r="F60" s="1" t="s">
        <v>72</v>
      </c>
      <c r="G60" s="1">
        <v>3.6133264E7</v>
      </c>
      <c r="H60" s="1">
        <v>4419.9241</v>
      </c>
      <c r="I60" s="3">
        <f>IFERROR(__xludf.DUMMYFUNCTION("IFERROR(VALUE(REGEXEXTRACT(F60, ""(\d+)[-\s]?Cores?"")))"),12.0)</f>
        <v>12</v>
      </c>
      <c r="J60" s="3">
        <f t="shared" si="1"/>
        <v>1</v>
      </c>
      <c r="K60" s="1">
        <f t="shared" si="2"/>
        <v>0</v>
      </c>
      <c r="L60" s="4">
        <f t="shared" si="3"/>
        <v>591.8</v>
      </c>
      <c r="M60" s="5">
        <v>7.0</v>
      </c>
      <c r="N60" s="1" t="s">
        <v>76</v>
      </c>
    </row>
    <row r="61" hidden="1">
      <c r="A61" s="1">
        <v>7006911.0</v>
      </c>
      <c r="B61" s="1" t="s">
        <v>75</v>
      </c>
      <c r="C61" s="1">
        <v>7297764.0</v>
      </c>
      <c r="D61" s="1" t="s">
        <v>22</v>
      </c>
      <c r="E61" s="1" t="s">
        <v>23</v>
      </c>
      <c r="F61" s="1" t="s">
        <v>72</v>
      </c>
      <c r="G61" s="1">
        <v>3.6133265E7</v>
      </c>
      <c r="H61" s="1">
        <v>4419.9241</v>
      </c>
      <c r="I61" s="3">
        <f>IFERROR(__xludf.DUMMYFUNCTION("IFERROR(VALUE(REGEXEXTRACT(F61, ""(\d+)[-\s]?Cores?"")))"),12.0)</f>
        <v>12</v>
      </c>
      <c r="J61" s="3">
        <f t="shared" si="1"/>
        <v>1</v>
      </c>
      <c r="K61" s="1">
        <f t="shared" si="2"/>
        <v>0</v>
      </c>
      <c r="L61" s="4">
        <f t="shared" si="3"/>
        <v>591.8</v>
      </c>
      <c r="M61" s="5">
        <v>7.0</v>
      </c>
      <c r="N61" s="1" t="s">
        <v>76</v>
      </c>
    </row>
    <row r="62" hidden="1">
      <c r="A62" s="1">
        <v>7006911.0</v>
      </c>
      <c r="B62" s="1" t="s">
        <v>75</v>
      </c>
      <c r="C62" s="1">
        <v>7297766.0</v>
      </c>
      <c r="D62" s="1" t="s">
        <v>22</v>
      </c>
      <c r="E62" s="1" t="s">
        <v>23</v>
      </c>
      <c r="F62" s="1" t="s">
        <v>72</v>
      </c>
      <c r="G62" s="1">
        <v>3.6133294E7</v>
      </c>
      <c r="H62" s="1">
        <v>4419.9241</v>
      </c>
      <c r="I62" s="3">
        <f>IFERROR(__xludf.DUMMYFUNCTION("IFERROR(VALUE(REGEXEXTRACT(F62, ""(\d+)[-\s]?Cores?"")))"),12.0)</f>
        <v>12</v>
      </c>
      <c r="J62" s="3">
        <f t="shared" si="1"/>
        <v>1</v>
      </c>
      <c r="K62" s="1">
        <f t="shared" si="2"/>
        <v>0</v>
      </c>
      <c r="L62" s="4">
        <f t="shared" si="3"/>
        <v>591.8</v>
      </c>
      <c r="M62" s="5">
        <v>7.0</v>
      </c>
      <c r="N62" s="1" t="s">
        <v>76</v>
      </c>
    </row>
    <row r="63" hidden="1">
      <c r="A63" s="1">
        <v>7006911.0</v>
      </c>
      <c r="B63" s="1" t="s">
        <v>75</v>
      </c>
      <c r="C63" s="1">
        <v>7297766.0</v>
      </c>
      <c r="D63" s="1" t="s">
        <v>22</v>
      </c>
      <c r="E63" s="1" t="s">
        <v>23</v>
      </c>
      <c r="F63" s="1" t="s">
        <v>72</v>
      </c>
      <c r="G63" s="1">
        <v>3.6133295E7</v>
      </c>
      <c r="H63" s="1">
        <v>4419.9241</v>
      </c>
      <c r="I63" s="3">
        <f>IFERROR(__xludf.DUMMYFUNCTION("IFERROR(VALUE(REGEXEXTRACT(F63, ""(\d+)[-\s]?Cores?"")))"),12.0)</f>
        <v>12</v>
      </c>
      <c r="J63" s="3">
        <f t="shared" si="1"/>
        <v>1</v>
      </c>
      <c r="K63" s="1">
        <f t="shared" si="2"/>
        <v>0</v>
      </c>
      <c r="L63" s="4">
        <f t="shared" si="3"/>
        <v>591.8</v>
      </c>
      <c r="M63" s="5">
        <v>7.0</v>
      </c>
      <c r="N63" s="1" t="s">
        <v>76</v>
      </c>
    </row>
    <row r="64">
      <c r="A64" s="1">
        <v>7014682.0</v>
      </c>
      <c r="B64" s="1" t="s">
        <v>77</v>
      </c>
      <c r="C64" s="1">
        <v>7337256.0</v>
      </c>
      <c r="D64" s="1" t="s">
        <v>22</v>
      </c>
      <c r="E64" s="1" t="s">
        <v>23</v>
      </c>
      <c r="F64" s="1" t="s">
        <v>72</v>
      </c>
      <c r="G64" s="1">
        <v>3.6780901E7</v>
      </c>
      <c r="H64" s="1">
        <v>3123.32</v>
      </c>
      <c r="I64" s="3">
        <f>IFERROR(__xludf.DUMMYFUNCTION("IFERROR(VALUE(REGEXEXTRACT(F64, ""(\d+)[-\s]?Cores?"")))"),12.0)</f>
        <v>12</v>
      </c>
      <c r="J64" s="3">
        <f t="shared" si="1"/>
        <v>1</v>
      </c>
      <c r="K64" s="1">
        <f t="shared" si="2"/>
        <v>0</v>
      </c>
      <c r="L64" s="4">
        <f t="shared" si="3"/>
        <v>591.8</v>
      </c>
      <c r="M64" s="5">
        <v>7.0</v>
      </c>
      <c r="N64" s="1" t="s">
        <v>33</v>
      </c>
      <c r="Q64" s="1" t="s">
        <v>78</v>
      </c>
      <c r="R64" s="1" t="s">
        <v>65</v>
      </c>
    </row>
    <row r="65">
      <c r="A65" s="1">
        <v>7014682.0</v>
      </c>
      <c r="B65" s="1" t="s">
        <v>77</v>
      </c>
      <c r="C65" s="1">
        <v>7337256.0</v>
      </c>
      <c r="D65" s="1" t="s">
        <v>22</v>
      </c>
      <c r="E65" s="1" t="s">
        <v>23</v>
      </c>
      <c r="F65" s="1" t="s">
        <v>72</v>
      </c>
      <c r="G65" s="1">
        <v>3.6780902E7</v>
      </c>
      <c r="H65" s="1">
        <v>3123.32</v>
      </c>
      <c r="I65" s="3">
        <f>IFERROR(__xludf.DUMMYFUNCTION("IFERROR(VALUE(REGEXEXTRACT(F65, ""(\d+)[-\s]?Cores?"")))"),12.0)</f>
        <v>12</v>
      </c>
      <c r="J65" s="3">
        <f t="shared" si="1"/>
        <v>1</v>
      </c>
      <c r="K65" s="1">
        <f t="shared" si="2"/>
        <v>0</v>
      </c>
      <c r="L65" s="4">
        <f t="shared" si="3"/>
        <v>591.8</v>
      </c>
      <c r="M65" s="5">
        <v>7.0</v>
      </c>
      <c r="N65" s="1" t="s">
        <v>33</v>
      </c>
      <c r="Q65" s="1" t="s">
        <v>78</v>
      </c>
      <c r="R65" s="1" t="s">
        <v>65</v>
      </c>
    </row>
    <row r="66">
      <c r="A66" s="1">
        <v>7014682.0</v>
      </c>
      <c r="B66" s="1" t="s">
        <v>77</v>
      </c>
      <c r="C66" s="1">
        <v>7337257.0</v>
      </c>
      <c r="D66" s="1" t="s">
        <v>22</v>
      </c>
      <c r="E66" s="1" t="s">
        <v>23</v>
      </c>
      <c r="F66" s="1" t="s">
        <v>72</v>
      </c>
      <c r="G66" s="1">
        <v>3.6780926E7</v>
      </c>
      <c r="H66" s="1">
        <v>3123.32</v>
      </c>
      <c r="I66" s="3">
        <f>IFERROR(__xludf.DUMMYFUNCTION("IFERROR(VALUE(REGEXEXTRACT(F66, ""(\d+)[-\s]?Cores?"")))"),12.0)</f>
        <v>12</v>
      </c>
      <c r="J66" s="3">
        <f t="shared" si="1"/>
        <v>1</v>
      </c>
      <c r="K66" s="1">
        <f t="shared" si="2"/>
        <v>0</v>
      </c>
      <c r="L66" s="4">
        <f t="shared" si="3"/>
        <v>591.8</v>
      </c>
      <c r="M66" s="5">
        <v>7.0</v>
      </c>
      <c r="N66" s="1" t="s">
        <v>33</v>
      </c>
      <c r="Q66" s="1" t="s">
        <v>78</v>
      </c>
      <c r="R66" s="1" t="s">
        <v>65</v>
      </c>
    </row>
    <row r="67">
      <c r="A67" s="1">
        <v>7014682.0</v>
      </c>
      <c r="B67" s="1" t="s">
        <v>77</v>
      </c>
      <c r="C67" s="1">
        <v>7337257.0</v>
      </c>
      <c r="D67" s="1" t="s">
        <v>22</v>
      </c>
      <c r="E67" s="1" t="s">
        <v>23</v>
      </c>
      <c r="F67" s="1" t="s">
        <v>72</v>
      </c>
      <c r="G67" s="1">
        <v>3.6780927E7</v>
      </c>
      <c r="H67" s="1">
        <v>3123.32</v>
      </c>
      <c r="I67" s="3">
        <f>IFERROR(__xludf.DUMMYFUNCTION("IFERROR(VALUE(REGEXEXTRACT(F67, ""(\d+)[-\s]?Cores?"")))"),12.0)</f>
        <v>12</v>
      </c>
      <c r="J67" s="3">
        <f t="shared" si="1"/>
        <v>1</v>
      </c>
      <c r="K67" s="1">
        <f t="shared" si="2"/>
        <v>0</v>
      </c>
      <c r="L67" s="4">
        <f t="shared" si="3"/>
        <v>591.8</v>
      </c>
      <c r="M67" s="5">
        <v>7.0</v>
      </c>
      <c r="N67" s="1" t="s">
        <v>33</v>
      </c>
      <c r="Q67" s="1" t="s">
        <v>78</v>
      </c>
      <c r="R67" s="1" t="s">
        <v>65</v>
      </c>
    </row>
    <row r="68">
      <c r="A68" s="1">
        <v>7014791.0</v>
      </c>
      <c r="B68" s="1" t="s">
        <v>62</v>
      </c>
      <c r="C68" s="1">
        <v>7848726.0</v>
      </c>
      <c r="D68" s="1" t="s">
        <v>22</v>
      </c>
      <c r="E68" s="1" t="s">
        <v>23</v>
      </c>
      <c r="F68" s="1" t="s">
        <v>79</v>
      </c>
      <c r="G68" s="1">
        <v>4.3246101E7</v>
      </c>
      <c r="H68" s="1">
        <v>2120.3268</v>
      </c>
      <c r="I68" s="3">
        <f>IFERROR(__xludf.DUMMYFUNCTION("IFERROR(VALUE(REGEXEXTRACT(F68, ""(\d+)[-\s]?Cores?"")))"),12.0)</f>
        <v>12</v>
      </c>
      <c r="J68" s="3">
        <f t="shared" si="1"/>
        <v>1</v>
      </c>
      <c r="K68" s="1">
        <f t="shared" si="2"/>
        <v>0</v>
      </c>
      <c r="L68" s="4">
        <f t="shared" si="3"/>
        <v>591.8</v>
      </c>
      <c r="M68" s="5">
        <v>7.0</v>
      </c>
      <c r="N68" s="1" t="s">
        <v>33</v>
      </c>
      <c r="O68" s="1" t="s">
        <v>80</v>
      </c>
      <c r="Q68" s="1" t="s">
        <v>81</v>
      </c>
      <c r="R68" s="1" t="s">
        <v>65</v>
      </c>
    </row>
    <row r="69">
      <c r="A69" s="1">
        <v>7014791.0</v>
      </c>
      <c r="B69" s="1" t="s">
        <v>62</v>
      </c>
      <c r="C69" s="1">
        <v>7848726.0</v>
      </c>
      <c r="D69" s="1" t="s">
        <v>22</v>
      </c>
      <c r="E69" s="1" t="s">
        <v>23</v>
      </c>
      <c r="F69" s="1" t="s">
        <v>79</v>
      </c>
      <c r="G69" s="1">
        <v>4.3246102E7</v>
      </c>
      <c r="H69" s="1">
        <v>2120.3268</v>
      </c>
      <c r="I69" s="3">
        <f>IFERROR(__xludf.DUMMYFUNCTION("IFERROR(VALUE(REGEXEXTRACT(F69, ""(\d+)[-\s]?Cores?"")))"),12.0)</f>
        <v>12</v>
      </c>
      <c r="J69" s="3">
        <f t="shared" si="1"/>
        <v>1</v>
      </c>
      <c r="K69" s="1">
        <f t="shared" si="2"/>
        <v>0</v>
      </c>
      <c r="L69" s="4">
        <f t="shared" si="3"/>
        <v>591.8</v>
      </c>
      <c r="M69" s="5">
        <v>7.0</v>
      </c>
      <c r="N69" s="1" t="s">
        <v>33</v>
      </c>
      <c r="O69" s="1" t="s">
        <v>80</v>
      </c>
      <c r="Q69" s="1" t="s">
        <v>81</v>
      </c>
      <c r="R69" s="1" t="s">
        <v>65</v>
      </c>
    </row>
    <row r="70">
      <c r="A70" s="1">
        <v>7014791.0</v>
      </c>
      <c r="B70" s="1" t="s">
        <v>62</v>
      </c>
      <c r="C70" s="1">
        <v>7848727.0</v>
      </c>
      <c r="D70" s="1" t="s">
        <v>22</v>
      </c>
      <c r="E70" s="1" t="s">
        <v>23</v>
      </c>
      <c r="F70" s="1" t="s">
        <v>79</v>
      </c>
      <c r="G70" s="1">
        <v>4.3246122E7</v>
      </c>
      <c r="H70" s="1">
        <v>2120.3268</v>
      </c>
      <c r="I70" s="3">
        <f>IFERROR(__xludf.DUMMYFUNCTION("IFERROR(VALUE(REGEXEXTRACT(F70, ""(\d+)[-\s]?Cores?"")))"),12.0)</f>
        <v>12</v>
      </c>
      <c r="J70" s="3">
        <f t="shared" si="1"/>
        <v>1</v>
      </c>
      <c r="K70" s="1">
        <f t="shared" si="2"/>
        <v>0</v>
      </c>
      <c r="L70" s="4">
        <f t="shared" si="3"/>
        <v>591.8</v>
      </c>
      <c r="M70" s="5">
        <v>7.0</v>
      </c>
      <c r="N70" s="1" t="s">
        <v>33</v>
      </c>
      <c r="O70" s="1" t="s">
        <v>80</v>
      </c>
      <c r="Q70" s="1" t="s">
        <v>81</v>
      </c>
      <c r="R70" s="1" t="s">
        <v>65</v>
      </c>
    </row>
    <row r="71">
      <c r="A71" s="1">
        <v>7014791.0</v>
      </c>
      <c r="B71" s="1" t="s">
        <v>62</v>
      </c>
      <c r="C71" s="1">
        <v>7848727.0</v>
      </c>
      <c r="D71" s="1" t="s">
        <v>22</v>
      </c>
      <c r="E71" s="1" t="s">
        <v>23</v>
      </c>
      <c r="F71" s="1" t="s">
        <v>79</v>
      </c>
      <c r="G71" s="1">
        <v>4.3246123E7</v>
      </c>
      <c r="H71" s="1">
        <v>2120.3268</v>
      </c>
      <c r="I71" s="3">
        <f>IFERROR(__xludf.DUMMYFUNCTION("IFERROR(VALUE(REGEXEXTRACT(F71, ""(\d+)[-\s]?Cores?"")))"),12.0)</f>
        <v>12</v>
      </c>
      <c r="J71" s="3">
        <f t="shared" si="1"/>
        <v>1</v>
      </c>
      <c r="K71" s="1">
        <f t="shared" si="2"/>
        <v>0</v>
      </c>
      <c r="L71" s="4">
        <f t="shared" si="3"/>
        <v>591.8</v>
      </c>
      <c r="M71" s="5">
        <v>7.0</v>
      </c>
      <c r="N71" s="1" t="s">
        <v>33</v>
      </c>
      <c r="O71" s="1" t="s">
        <v>80</v>
      </c>
      <c r="Q71" s="1" t="s">
        <v>81</v>
      </c>
      <c r="R71" s="1" t="s">
        <v>65</v>
      </c>
    </row>
    <row r="72" hidden="1">
      <c r="A72" s="1">
        <v>7036572.0</v>
      </c>
      <c r="B72" s="1" t="s">
        <v>82</v>
      </c>
      <c r="C72" s="1">
        <v>5643824.0</v>
      </c>
      <c r="D72" s="1" t="s">
        <v>22</v>
      </c>
      <c r="E72" s="1" t="s">
        <v>39</v>
      </c>
      <c r="F72" s="1" t="s">
        <v>83</v>
      </c>
      <c r="G72" s="1">
        <v>2.1319E7</v>
      </c>
      <c r="H72" s="1">
        <v>2174.56</v>
      </c>
      <c r="I72" s="3">
        <f>IFERROR(__xludf.DUMMYFUNCTION("IFERROR(VALUE(REGEXEXTRACT(F72, ""(\d+)[-\s]?Cores?"")))"),12.0)</f>
        <v>12</v>
      </c>
      <c r="J72" s="3">
        <f t="shared" si="1"/>
        <v>1</v>
      </c>
      <c r="K72" s="1">
        <f t="shared" si="2"/>
        <v>0</v>
      </c>
      <c r="L72" s="4">
        <f t="shared" si="3"/>
        <v>591.8</v>
      </c>
      <c r="M72" s="5" t="s">
        <v>41</v>
      </c>
      <c r="N72" s="1" t="s">
        <v>25</v>
      </c>
      <c r="R72" s="1" t="s">
        <v>84</v>
      </c>
    </row>
    <row r="73" hidden="1">
      <c r="A73" s="1">
        <v>7036572.0</v>
      </c>
      <c r="B73" s="1" t="s">
        <v>82</v>
      </c>
      <c r="C73" s="1">
        <v>5643824.0</v>
      </c>
      <c r="D73" s="1" t="s">
        <v>22</v>
      </c>
      <c r="E73" s="1" t="s">
        <v>39</v>
      </c>
      <c r="F73" s="1" t="s">
        <v>83</v>
      </c>
      <c r="G73" s="1">
        <v>2.1319001E7</v>
      </c>
      <c r="H73" s="1">
        <v>2174.56</v>
      </c>
      <c r="I73" s="3">
        <f>IFERROR(__xludf.DUMMYFUNCTION("IFERROR(VALUE(REGEXEXTRACT(F73, ""(\d+)[-\s]?Cores?"")))"),12.0)</f>
        <v>12</v>
      </c>
      <c r="J73" s="3">
        <f t="shared" si="1"/>
        <v>1</v>
      </c>
      <c r="K73" s="1">
        <f t="shared" si="2"/>
        <v>0</v>
      </c>
      <c r="L73" s="4">
        <f t="shared" si="3"/>
        <v>591.8</v>
      </c>
      <c r="M73" s="5" t="s">
        <v>41</v>
      </c>
      <c r="N73" s="1" t="s">
        <v>25</v>
      </c>
      <c r="R73" s="1" t="s">
        <v>84</v>
      </c>
    </row>
    <row r="74" hidden="1">
      <c r="A74" s="1">
        <v>7036572.0</v>
      </c>
      <c r="B74" s="1" t="s">
        <v>82</v>
      </c>
      <c r="C74" s="1">
        <v>5643830.0</v>
      </c>
      <c r="D74" s="1" t="s">
        <v>22</v>
      </c>
      <c r="E74" s="1" t="s">
        <v>39</v>
      </c>
      <c r="F74" s="1" t="s">
        <v>83</v>
      </c>
      <c r="G74" s="1">
        <v>2.1319124E7</v>
      </c>
      <c r="H74" s="1">
        <v>2174.56</v>
      </c>
      <c r="I74" s="3">
        <f>IFERROR(__xludf.DUMMYFUNCTION("IFERROR(VALUE(REGEXEXTRACT(F74, ""(\d+)[-\s]?Cores?"")))"),12.0)</f>
        <v>12</v>
      </c>
      <c r="J74" s="3">
        <f t="shared" si="1"/>
        <v>1</v>
      </c>
      <c r="K74" s="1">
        <f t="shared" si="2"/>
        <v>0</v>
      </c>
      <c r="L74" s="4">
        <f t="shared" si="3"/>
        <v>591.8</v>
      </c>
      <c r="M74" s="5" t="s">
        <v>41</v>
      </c>
      <c r="N74" s="1" t="s">
        <v>25</v>
      </c>
      <c r="R74" s="1" t="s">
        <v>84</v>
      </c>
    </row>
    <row r="75" hidden="1">
      <c r="A75" s="1">
        <v>7036572.0</v>
      </c>
      <c r="B75" s="1" t="s">
        <v>82</v>
      </c>
      <c r="C75" s="1">
        <v>5643830.0</v>
      </c>
      <c r="D75" s="1" t="s">
        <v>22</v>
      </c>
      <c r="E75" s="1" t="s">
        <v>39</v>
      </c>
      <c r="F75" s="1" t="s">
        <v>83</v>
      </c>
      <c r="G75" s="1">
        <v>2.1319125E7</v>
      </c>
      <c r="H75" s="1">
        <v>2174.56</v>
      </c>
      <c r="I75" s="3">
        <f>IFERROR(__xludf.DUMMYFUNCTION("IFERROR(VALUE(REGEXEXTRACT(F75, ""(\d+)[-\s]?Cores?"")))"),12.0)</f>
        <v>12</v>
      </c>
      <c r="J75" s="3">
        <f t="shared" si="1"/>
        <v>1</v>
      </c>
      <c r="K75" s="1">
        <f t="shared" si="2"/>
        <v>0</v>
      </c>
      <c r="L75" s="4">
        <f t="shared" si="3"/>
        <v>591.8</v>
      </c>
      <c r="M75" s="5" t="s">
        <v>41</v>
      </c>
      <c r="N75" s="1" t="s">
        <v>25</v>
      </c>
      <c r="R75" s="1" t="s">
        <v>84</v>
      </c>
    </row>
    <row r="76" hidden="1">
      <c r="A76" s="1">
        <v>7000167.0</v>
      </c>
      <c r="B76" s="1" t="s">
        <v>85</v>
      </c>
      <c r="C76" s="1">
        <v>6096495.0</v>
      </c>
      <c r="D76" s="1" t="s">
        <v>22</v>
      </c>
      <c r="E76" s="1" t="s">
        <v>23</v>
      </c>
      <c r="F76" s="1" t="s">
        <v>86</v>
      </c>
      <c r="G76" s="1">
        <v>2.5470269E7</v>
      </c>
      <c r="H76" s="1">
        <v>3082.3742</v>
      </c>
      <c r="I76" s="3">
        <f>IFERROR(__xludf.DUMMYFUNCTION("IFERROR(VALUE(REGEXEXTRACT(F76, ""(\d+)[-\s]?Cores?"")))"),12.0)</f>
        <v>12</v>
      </c>
      <c r="J76" s="3">
        <f t="shared" si="1"/>
        <v>1</v>
      </c>
      <c r="K76" s="1">
        <f t="shared" si="2"/>
        <v>0</v>
      </c>
      <c r="L76" s="4">
        <f t="shared" si="3"/>
        <v>591.8</v>
      </c>
      <c r="M76" s="5" t="s">
        <v>41</v>
      </c>
      <c r="N76" s="1" t="s">
        <v>59</v>
      </c>
    </row>
    <row r="77" hidden="1">
      <c r="A77" s="1">
        <v>7000167.0</v>
      </c>
      <c r="B77" s="1" t="s">
        <v>85</v>
      </c>
      <c r="C77" s="1">
        <v>6096495.0</v>
      </c>
      <c r="D77" s="1" t="s">
        <v>22</v>
      </c>
      <c r="E77" s="1" t="s">
        <v>23</v>
      </c>
      <c r="F77" s="1" t="s">
        <v>86</v>
      </c>
      <c r="G77" s="1">
        <v>2.547027E7</v>
      </c>
      <c r="H77" s="1">
        <v>3082.3742</v>
      </c>
      <c r="I77" s="3">
        <f>IFERROR(__xludf.DUMMYFUNCTION("IFERROR(VALUE(REGEXEXTRACT(F77, ""(\d+)[-\s]?Cores?"")))"),12.0)</f>
        <v>12</v>
      </c>
      <c r="J77" s="3">
        <f t="shared" si="1"/>
        <v>1</v>
      </c>
      <c r="K77" s="1">
        <f t="shared" si="2"/>
        <v>0</v>
      </c>
      <c r="L77" s="4">
        <f t="shared" si="3"/>
        <v>591.8</v>
      </c>
      <c r="M77" s="5" t="s">
        <v>41</v>
      </c>
      <c r="N77" s="1" t="s">
        <v>59</v>
      </c>
    </row>
    <row r="78" hidden="1">
      <c r="A78" s="1">
        <v>7014917.0</v>
      </c>
      <c r="B78" s="1" t="s">
        <v>87</v>
      </c>
      <c r="C78" s="1">
        <v>6411959.0</v>
      </c>
      <c r="D78" s="1" t="s">
        <v>88</v>
      </c>
      <c r="E78" s="1" t="s">
        <v>23</v>
      </c>
      <c r="F78" s="1" t="s">
        <v>89</v>
      </c>
      <c r="G78" s="1">
        <v>2.7534257E7</v>
      </c>
      <c r="H78" s="1">
        <v>2754.9118</v>
      </c>
      <c r="I78" s="3">
        <f>IFERROR(__xludf.DUMMYFUNCTION("IFERROR(VALUE(REGEXEXTRACT(F78, ""(\d+)[-\s]?Cores?"")))"),12.0)</f>
        <v>12</v>
      </c>
      <c r="J78" s="3">
        <f t="shared" si="1"/>
        <v>1</v>
      </c>
      <c r="K78" s="1">
        <f t="shared" si="2"/>
        <v>0</v>
      </c>
      <c r="L78" s="4">
        <f t="shared" si="3"/>
        <v>591.8</v>
      </c>
      <c r="M78" s="5" t="s">
        <v>41</v>
      </c>
      <c r="N78" s="1" t="s">
        <v>48</v>
      </c>
      <c r="O78" s="1" t="s">
        <v>90</v>
      </c>
      <c r="P78" s="1" t="s">
        <v>50</v>
      </c>
      <c r="R78" s="1" t="s">
        <v>91</v>
      </c>
    </row>
    <row r="79" hidden="1">
      <c r="A79" s="1">
        <v>7014917.0</v>
      </c>
      <c r="B79" s="1" t="s">
        <v>87</v>
      </c>
      <c r="C79" s="1">
        <v>6411959.0</v>
      </c>
      <c r="D79" s="1" t="s">
        <v>88</v>
      </c>
      <c r="E79" s="1" t="s">
        <v>23</v>
      </c>
      <c r="F79" s="1" t="s">
        <v>89</v>
      </c>
      <c r="G79" s="1">
        <v>2.7534258E7</v>
      </c>
      <c r="H79" s="1">
        <v>2754.9118</v>
      </c>
      <c r="I79" s="3">
        <f>IFERROR(__xludf.DUMMYFUNCTION("IFERROR(VALUE(REGEXEXTRACT(F79, ""(\d+)[-\s]?Cores?"")))"),12.0)</f>
        <v>12</v>
      </c>
      <c r="J79" s="3">
        <f t="shared" si="1"/>
        <v>1</v>
      </c>
      <c r="K79" s="1">
        <f t="shared" si="2"/>
        <v>0</v>
      </c>
      <c r="L79" s="4">
        <f t="shared" si="3"/>
        <v>591.8</v>
      </c>
      <c r="M79" s="5" t="s">
        <v>41</v>
      </c>
      <c r="N79" s="1" t="s">
        <v>48</v>
      </c>
      <c r="O79" s="1" t="s">
        <v>90</v>
      </c>
      <c r="P79" s="1" t="s">
        <v>50</v>
      </c>
      <c r="R79" s="1" t="s">
        <v>91</v>
      </c>
    </row>
    <row r="80" hidden="1">
      <c r="A80" s="1">
        <v>7014917.0</v>
      </c>
      <c r="B80" s="1" t="s">
        <v>87</v>
      </c>
      <c r="C80" s="1">
        <v>6411960.0</v>
      </c>
      <c r="D80" s="1" t="s">
        <v>88</v>
      </c>
      <c r="E80" s="1" t="s">
        <v>23</v>
      </c>
      <c r="F80" s="1" t="s">
        <v>89</v>
      </c>
      <c r="G80" s="1">
        <v>2.7534287E7</v>
      </c>
      <c r="H80" s="1">
        <v>2754.9118</v>
      </c>
      <c r="I80" s="3">
        <f>IFERROR(__xludf.DUMMYFUNCTION("IFERROR(VALUE(REGEXEXTRACT(F80, ""(\d+)[-\s]?Cores?"")))"),12.0)</f>
        <v>12</v>
      </c>
      <c r="J80" s="3">
        <f t="shared" si="1"/>
        <v>1</v>
      </c>
      <c r="K80" s="1">
        <f t="shared" si="2"/>
        <v>0</v>
      </c>
      <c r="L80" s="4">
        <f t="shared" si="3"/>
        <v>591.8</v>
      </c>
      <c r="M80" s="5" t="s">
        <v>41</v>
      </c>
      <c r="N80" s="1" t="s">
        <v>48</v>
      </c>
      <c r="O80" s="1" t="s">
        <v>90</v>
      </c>
      <c r="P80" s="1" t="s">
        <v>50</v>
      </c>
      <c r="R80" s="1" t="s">
        <v>91</v>
      </c>
    </row>
    <row r="81" hidden="1">
      <c r="A81" s="1">
        <v>7014917.0</v>
      </c>
      <c r="B81" s="1" t="s">
        <v>87</v>
      </c>
      <c r="C81" s="1">
        <v>6411960.0</v>
      </c>
      <c r="D81" s="1" t="s">
        <v>88</v>
      </c>
      <c r="E81" s="1" t="s">
        <v>23</v>
      </c>
      <c r="F81" s="1" t="s">
        <v>89</v>
      </c>
      <c r="G81" s="1">
        <v>2.7534288E7</v>
      </c>
      <c r="H81" s="1">
        <v>2754.9118</v>
      </c>
      <c r="I81" s="3">
        <f>IFERROR(__xludf.DUMMYFUNCTION("IFERROR(VALUE(REGEXEXTRACT(F81, ""(\d+)[-\s]?Cores?"")))"),12.0)</f>
        <v>12</v>
      </c>
      <c r="J81" s="3">
        <f t="shared" si="1"/>
        <v>1</v>
      </c>
      <c r="K81" s="1">
        <f t="shared" si="2"/>
        <v>0</v>
      </c>
      <c r="L81" s="4">
        <f t="shared" si="3"/>
        <v>591.8</v>
      </c>
      <c r="M81" s="5" t="s">
        <v>41</v>
      </c>
      <c r="N81" s="1" t="s">
        <v>48</v>
      </c>
      <c r="O81" s="1" t="s">
        <v>90</v>
      </c>
      <c r="P81" s="1" t="s">
        <v>50</v>
      </c>
      <c r="R81" s="1" t="s">
        <v>91</v>
      </c>
    </row>
    <row r="82" hidden="1">
      <c r="A82" s="1">
        <v>7014917.0</v>
      </c>
      <c r="B82" s="1" t="s">
        <v>87</v>
      </c>
      <c r="C82" s="1">
        <v>6411961.0</v>
      </c>
      <c r="D82" s="1" t="s">
        <v>88</v>
      </c>
      <c r="E82" s="1" t="s">
        <v>23</v>
      </c>
      <c r="F82" s="1" t="s">
        <v>89</v>
      </c>
      <c r="G82" s="1">
        <v>2.7534317E7</v>
      </c>
      <c r="H82" s="1">
        <v>2754.9118</v>
      </c>
      <c r="I82" s="3">
        <f>IFERROR(__xludf.DUMMYFUNCTION("IFERROR(VALUE(REGEXEXTRACT(F82, ""(\d+)[-\s]?Cores?"")))"),12.0)</f>
        <v>12</v>
      </c>
      <c r="J82" s="3">
        <f t="shared" si="1"/>
        <v>1</v>
      </c>
      <c r="K82" s="1">
        <f t="shared" si="2"/>
        <v>0</v>
      </c>
      <c r="L82" s="4">
        <f t="shared" si="3"/>
        <v>591.8</v>
      </c>
      <c r="M82" s="5" t="s">
        <v>41</v>
      </c>
      <c r="N82" s="1" t="s">
        <v>48</v>
      </c>
      <c r="O82" s="1" t="s">
        <v>90</v>
      </c>
      <c r="P82" s="1" t="s">
        <v>50</v>
      </c>
      <c r="R82" s="1" t="s">
        <v>91</v>
      </c>
    </row>
    <row r="83" hidden="1">
      <c r="A83" s="1">
        <v>7014917.0</v>
      </c>
      <c r="B83" s="1" t="s">
        <v>87</v>
      </c>
      <c r="C83" s="1">
        <v>6411961.0</v>
      </c>
      <c r="D83" s="1" t="s">
        <v>88</v>
      </c>
      <c r="E83" s="1" t="s">
        <v>23</v>
      </c>
      <c r="F83" s="1" t="s">
        <v>89</v>
      </c>
      <c r="G83" s="1">
        <v>2.7534318E7</v>
      </c>
      <c r="H83" s="1">
        <v>2754.9118</v>
      </c>
      <c r="I83" s="3">
        <f>IFERROR(__xludf.DUMMYFUNCTION("IFERROR(VALUE(REGEXEXTRACT(F83, ""(\d+)[-\s]?Cores?"")))"),12.0)</f>
        <v>12</v>
      </c>
      <c r="J83" s="3">
        <f t="shared" si="1"/>
        <v>1</v>
      </c>
      <c r="K83" s="1">
        <f t="shared" si="2"/>
        <v>0</v>
      </c>
      <c r="L83" s="4">
        <f t="shared" si="3"/>
        <v>591.8</v>
      </c>
      <c r="M83" s="5" t="s">
        <v>41</v>
      </c>
      <c r="N83" s="1" t="s">
        <v>48</v>
      </c>
      <c r="O83" s="1" t="s">
        <v>90</v>
      </c>
      <c r="P83" s="1" t="s">
        <v>50</v>
      </c>
      <c r="R83" s="1" t="s">
        <v>91</v>
      </c>
    </row>
    <row r="84" hidden="1">
      <c r="A84" s="1">
        <v>7014917.0</v>
      </c>
      <c r="B84" s="1" t="s">
        <v>87</v>
      </c>
      <c r="C84" s="1">
        <v>6411962.0</v>
      </c>
      <c r="D84" s="1" t="s">
        <v>88</v>
      </c>
      <c r="E84" s="1" t="s">
        <v>23</v>
      </c>
      <c r="F84" s="1" t="s">
        <v>89</v>
      </c>
      <c r="G84" s="1">
        <v>2.7534347E7</v>
      </c>
      <c r="H84" s="1">
        <v>2754.9118</v>
      </c>
      <c r="I84" s="3">
        <f>IFERROR(__xludf.DUMMYFUNCTION("IFERROR(VALUE(REGEXEXTRACT(F84, ""(\d+)[-\s]?Cores?"")))"),12.0)</f>
        <v>12</v>
      </c>
      <c r="J84" s="3">
        <f t="shared" si="1"/>
        <v>1</v>
      </c>
      <c r="K84" s="1">
        <f t="shared" si="2"/>
        <v>0</v>
      </c>
      <c r="L84" s="4">
        <f t="shared" si="3"/>
        <v>591.8</v>
      </c>
      <c r="M84" s="5" t="s">
        <v>41</v>
      </c>
      <c r="N84" s="1" t="s">
        <v>48</v>
      </c>
      <c r="O84" s="1" t="s">
        <v>90</v>
      </c>
      <c r="P84" s="1" t="s">
        <v>50</v>
      </c>
      <c r="R84" s="1" t="s">
        <v>91</v>
      </c>
    </row>
    <row r="85" hidden="1">
      <c r="A85" s="1">
        <v>7014917.0</v>
      </c>
      <c r="B85" s="1" t="s">
        <v>87</v>
      </c>
      <c r="C85" s="1">
        <v>6411962.0</v>
      </c>
      <c r="D85" s="1" t="s">
        <v>88</v>
      </c>
      <c r="E85" s="1" t="s">
        <v>23</v>
      </c>
      <c r="F85" s="1" t="s">
        <v>89</v>
      </c>
      <c r="G85" s="1">
        <v>2.7534348E7</v>
      </c>
      <c r="H85" s="1">
        <v>2754.9118</v>
      </c>
      <c r="I85" s="3">
        <f>IFERROR(__xludf.DUMMYFUNCTION("IFERROR(VALUE(REGEXEXTRACT(F85, ""(\d+)[-\s]?Cores?"")))"),12.0)</f>
        <v>12</v>
      </c>
      <c r="J85" s="3">
        <f t="shared" si="1"/>
        <v>1</v>
      </c>
      <c r="K85" s="1">
        <f t="shared" si="2"/>
        <v>0</v>
      </c>
      <c r="L85" s="4">
        <f t="shared" si="3"/>
        <v>591.8</v>
      </c>
      <c r="M85" s="5" t="s">
        <v>41</v>
      </c>
      <c r="N85" s="1" t="s">
        <v>48</v>
      </c>
      <c r="O85" s="1" t="s">
        <v>90</v>
      </c>
      <c r="P85" s="1" t="s">
        <v>50</v>
      </c>
      <c r="R85" s="1" t="s">
        <v>91</v>
      </c>
    </row>
    <row r="86" hidden="1">
      <c r="A86" s="1">
        <v>5401567.0</v>
      </c>
      <c r="B86" s="1" t="s">
        <v>92</v>
      </c>
      <c r="C86" s="1">
        <v>6464705.0</v>
      </c>
      <c r="D86" s="1" t="s">
        <v>22</v>
      </c>
      <c r="E86" s="1" t="s">
        <v>23</v>
      </c>
      <c r="F86" s="1" t="s">
        <v>89</v>
      </c>
      <c r="G86" s="1">
        <v>2.7831289E7</v>
      </c>
      <c r="H86" s="1">
        <v>2320.5082</v>
      </c>
      <c r="I86" s="3">
        <f>IFERROR(__xludf.DUMMYFUNCTION("IFERROR(VALUE(REGEXEXTRACT(F86, ""(\d+)[-\s]?Cores?"")))"),12.0)</f>
        <v>12</v>
      </c>
      <c r="J86" s="3">
        <f t="shared" si="1"/>
        <v>1</v>
      </c>
      <c r="K86" s="1">
        <f t="shared" si="2"/>
        <v>0</v>
      </c>
      <c r="L86" s="4">
        <f t="shared" si="3"/>
        <v>591.8</v>
      </c>
      <c r="M86" s="5" t="s">
        <v>41</v>
      </c>
      <c r="N86" s="1" t="s">
        <v>59</v>
      </c>
    </row>
    <row r="87" hidden="1">
      <c r="A87" s="1">
        <v>5401567.0</v>
      </c>
      <c r="B87" s="1" t="s">
        <v>92</v>
      </c>
      <c r="C87" s="1">
        <v>6464705.0</v>
      </c>
      <c r="D87" s="1" t="s">
        <v>22</v>
      </c>
      <c r="E87" s="1" t="s">
        <v>23</v>
      </c>
      <c r="F87" s="1" t="s">
        <v>89</v>
      </c>
      <c r="G87" s="1">
        <v>2.783129E7</v>
      </c>
      <c r="H87" s="1">
        <v>2320.5082</v>
      </c>
      <c r="I87" s="3">
        <f>IFERROR(__xludf.DUMMYFUNCTION("IFERROR(VALUE(REGEXEXTRACT(F87, ""(\d+)[-\s]?Cores?"")))"),12.0)</f>
        <v>12</v>
      </c>
      <c r="J87" s="3">
        <f t="shared" si="1"/>
        <v>1</v>
      </c>
      <c r="K87" s="1">
        <f t="shared" si="2"/>
        <v>0</v>
      </c>
      <c r="L87" s="4">
        <f t="shared" si="3"/>
        <v>591.8</v>
      </c>
      <c r="M87" s="5" t="s">
        <v>41</v>
      </c>
      <c r="N87" s="1" t="s">
        <v>59</v>
      </c>
    </row>
    <row r="88" hidden="1">
      <c r="A88" s="1">
        <v>5401567.0</v>
      </c>
      <c r="B88" s="1" t="s">
        <v>92</v>
      </c>
      <c r="C88" s="1">
        <v>6464706.0</v>
      </c>
      <c r="D88" s="1" t="s">
        <v>22</v>
      </c>
      <c r="E88" s="1" t="s">
        <v>23</v>
      </c>
      <c r="F88" s="1" t="s">
        <v>89</v>
      </c>
      <c r="G88" s="1">
        <v>2.7831316E7</v>
      </c>
      <c r="H88" s="1">
        <v>2320.5082</v>
      </c>
      <c r="I88" s="3">
        <f>IFERROR(__xludf.DUMMYFUNCTION("IFERROR(VALUE(REGEXEXTRACT(F88, ""(\d+)[-\s]?Cores?"")))"),12.0)</f>
        <v>12</v>
      </c>
      <c r="J88" s="3">
        <f t="shared" si="1"/>
        <v>1</v>
      </c>
      <c r="K88" s="1">
        <f t="shared" si="2"/>
        <v>0</v>
      </c>
      <c r="L88" s="4">
        <f t="shared" si="3"/>
        <v>591.8</v>
      </c>
      <c r="M88" s="5" t="s">
        <v>41</v>
      </c>
      <c r="N88" s="1" t="s">
        <v>59</v>
      </c>
    </row>
    <row r="89" hidden="1">
      <c r="A89" s="1">
        <v>5401567.0</v>
      </c>
      <c r="B89" s="1" t="s">
        <v>92</v>
      </c>
      <c r="C89" s="1">
        <v>6464706.0</v>
      </c>
      <c r="D89" s="1" t="s">
        <v>22</v>
      </c>
      <c r="E89" s="1" t="s">
        <v>23</v>
      </c>
      <c r="F89" s="1" t="s">
        <v>89</v>
      </c>
      <c r="G89" s="1">
        <v>2.7831317E7</v>
      </c>
      <c r="H89" s="1">
        <v>2320.5082</v>
      </c>
      <c r="I89" s="3">
        <f>IFERROR(__xludf.DUMMYFUNCTION("IFERROR(VALUE(REGEXEXTRACT(F89, ""(\d+)[-\s]?Cores?"")))"),12.0)</f>
        <v>12</v>
      </c>
      <c r="J89" s="3">
        <f t="shared" si="1"/>
        <v>1</v>
      </c>
      <c r="K89" s="1">
        <f t="shared" si="2"/>
        <v>0</v>
      </c>
      <c r="L89" s="4">
        <f t="shared" si="3"/>
        <v>591.8</v>
      </c>
      <c r="M89" s="5" t="s">
        <v>41</v>
      </c>
      <c r="N89" s="1" t="s">
        <v>59</v>
      </c>
    </row>
    <row r="90" hidden="1">
      <c r="A90" s="1">
        <v>7000167.0</v>
      </c>
      <c r="B90" s="1" t="s">
        <v>85</v>
      </c>
      <c r="C90" s="1">
        <v>6465016.0</v>
      </c>
      <c r="D90" s="1" t="s">
        <v>22</v>
      </c>
      <c r="E90" s="1" t="s">
        <v>23</v>
      </c>
      <c r="F90" s="1" t="s">
        <v>89</v>
      </c>
      <c r="G90" s="1">
        <v>2.783328E7</v>
      </c>
      <c r="H90" s="1">
        <v>2568.0027</v>
      </c>
      <c r="I90" s="3">
        <f>IFERROR(__xludf.DUMMYFUNCTION("IFERROR(VALUE(REGEXEXTRACT(F90, ""(\d+)[-\s]?Cores?"")))"),12.0)</f>
        <v>12</v>
      </c>
      <c r="J90" s="3">
        <f t="shared" si="1"/>
        <v>1</v>
      </c>
      <c r="K90" s="1">
        <f t="shared" si="2"/>
        <v>0</v>
      </c>
      <c r="L90" s="4">
        <f t="shared" si="3"/>
        <v>591.8</v>
      </c>
      <c r="M90" s="5" t="s">
        <v>41</v>
      </c>
      <c r="N90" s="1" t="s">
        <v>59</v>
      </c>
    </row>
    <row r="91" hidden="1">
      <c r="A91" s="1">
        <v>7000167.0</v>
      </c>
      <c r="B91" s="1" t="s">
        <v>85</v>
      </c>
      <c r="C91" s="1">
        <v>6465016.0</v>
      </c>
      <c r="D91" s="1" t="s">
        <v>22</v>
      </c>
      <c r="E91" s="1" t="s">
        <v>23</v>
      </c>
      <c r="F91" s="1" t="s">
        <v>89</v>
      </c>
      <c r="G91" s="1">
        <v>2.7833281E7</v>
      </c>
      <c r="H91" s="1">
        <v>2568.0027</v>
      </c>
      <c r="I91" s="3">
        <f>IFERROR(__xludf.DUMMYFUNCTION("IFERROR(VALUE(REGEXEXTRACT(F91, ""(\d+)[-\s]?Cores?"")))"),12.0)</f>
        <v>12</v>
      </c>
      <c r="J91" s="3">
        <f t="shared" si="1"/>
        <v>1</v>
      </c>
      <c r="K91" s="1">
        <f t="shared" si="2"/>
        <v>0</v>
      </c>
      <c r="L91" s="4">
        <f t="shared" si="3"/>
        <v>591.8</v>
      </c>
      <c r="M91" s="5" t="s">
        <v>41</v>
      </c>
      <c r="N91" s="1" t="s">
        <v>59</v>
      </c>
    </row>
    <row r="92" hidden="1">
      <c r="A92" s="1">
        <v>7000167.0</v>
      </c>
      <c r="B92" s="1" t="s">
        <v>85</v>
      </c>
      <c r="C92" s="1">
        <v>6465017.0</v>
      </c>
      <c r="D92" s="1" t="s">
        <v>22</v>
      </c>
      <c r="E92" s="1" t="s">
        <v>23</v>
      </c>
      <c r="F92" s="1" t="s">
        <v>89</v>
      </c>
      <c r="G92" s="1">
        <v>2.783332E7</v>
      </c>
      <c r="H92" s="1">
        <v>2499.7381</v>
      </c>
      <c r="I92" s="3">
        <f>IFERROR(__xludf.DUMMYFUNCTION("IFERROR(VALUE(REGEXEXTRACT(F92, ""(\d+)[-\s]?Cores?"")))"),12.0)</f>
        <v>12</v>
      </c>
      <c r="J92" s="3">
        <f t="shared" si="1"/>
        <v>1</v>
      </c>
      <c r="K92" s="1">
        <f t="shared" si="2"/>
        <v>0</v>
      </c>
      <c r="L92" s="4">
        <f t="shared" si="3"/>
        <v>591.8</v>
      </c>
      <c r="M92" s="5" t="s">
        <v>41</v>
      </c>
      <c r="N92" s="1" t="s">
        <v>59</v>
      </c>
    </row>
    <row r="93" hidden="1">
      <c r="A93" s="1">
        <v>7000167.0</v>
      </c>
      <c r="B93" s="1" t="s">
        <v>85</v>
      </c>
      <c r="C93" s="1">
        <v>6465017.0</v>
      </c>
      <c r="D93" s="1" t="s">
        <v>22</v>
      </c>
      <c r="E93" s="1" t="s">
        <v>23</v>
      </c>
      <c r="F93" s="1" t="s">
        <v>89</v>
      </c>
      <c r="G93" s="1">
        <v>2.7833321E7</v>
      </c>
      <c r="H93" s="1">
        <v>2499.7381</v>
      </c>
      <c r="I93" s="3">
        <f>IFERROR(__xludf.DUMMYFUNCTION("IFERROR(VALUE(REGEXEXTRACT(F93, ""(\d+)[-\s]?Cores?"")))"),12.0)</f>
        <v>12</v>
      </c>
      <c r="J93" s="3">
        <f t="shared" si="1"/>
        <v>1</v>
      </c>
      <c r="K93" s="1">
        <f t="shared" si="2"/>
        <v>0</v>
      </c>
      <c r="L93" s="4">
        <f t="shared" si="3"/>
        <v>591.8</v>
      </c>
      <c r="M93" s="5" t="s">
        <v>41</v>
      </c>
      <c r="N93" s="1" t="s">
        <v>59</v>
      </c>
    </row>
    <row r="94" hidden="1">
      <c r="A94" s="1">
        <v>5401567.0</v>
      </c>
      <c r="B94" s="1" t="s">
        <v>92</v>
      </c>
      <c r="C94" s="1">
        <v>7023229.0</v>
      </c>
      <c r="D94" s="1" t="s">
        <v>22</v>
      </c>
      <c r="E94" s="1" t="s">
        <v>23</v>
      </c>
      <c r="F94" s="1" t="s">
        <v>89</v>
      </c>
      <c r="G94" s="1">
        <v>3.3422705E7</v>
      </c>
      <c r="H94" s="1">
        <v>3010.5524</v>
      </c>
      <c r="I94" s="3">
        <f>IFERROR(__xludf.DUMMYFUNCTION("IFERROR(VALUE(REGEXEXTRACT(F94, ""(\d+)[-\s]?Cores?"")))"),12.0)</f>
        <v>12</v>
      </c>
      <c r="J94" s="3">
        <f t="shared" si="1"/>
        <v>1</v>
      </c>
      <c r="K94" s="1">
        <f t="shared" si="2"/>
        <v>0</v>
      </c>
      <c r="L94" s="4">
        <f t="shared" si="3"/>
        <v>591.8</v>
      </c>
      <c r="M94" s="5" t="s">
        <v>41</v>
      </c>
      <c r="N94" s="1" t="s">
        <v>59</v>
      </c>
    </row>
    <row r="95" hidden="1">
      <c r="A95" s="1">
        <v>5401567.0</v>
      </c>
      <c r="B95" s="1" t="s">
        <v>92</v>
      </c>
      <c r="C95" s="1">
        <v>7023229.0</v>
      </c>
      <c r="D95" s="1" t="s">
        <v>22</v>
      </c>
      <c r="E95" s="1" t="s">
        <v>23</v>
      </c>
      <c r="F95" s="1" t="s">
        <v>89</v>
      </c>
      <c r="G95" s="1">
        <v>3.3422706E7</v>
      </c>
      <c r="H95" s="1">
        <v>3010.5524</v>
      </c>
      <c r="I95" s="3">
        <f>IFERROR(__xludf.DUMMYFUNCTION("IFERROR(VALUE(REGEXEXTRACT(F95, ""(\d+)[-\s]?Cores?"")))"),12.0)</f>
        <v>12</v>
      </c>
      <c r="J95" s="3">
        <f t="shared" si="1"/>
        <v>1</v>
      </c>
      <c r="K95" s="1">
        <f t="shared" si="2"/>
        <v>0</v>
      </c>
      <c r="L95" s="4">
        <f t="shared" si="3"/>
        <v>591.8</v>
      </c>
      <c r="M95" s="5" t="s">
        <v>41</v>
      </c>
      <c r="N95" s="1" t="s">
        <v>59</v>
      </c>
    </row>
    <row r="96" hidden="1">
      <c r="A96" s="1">
        <v>5401567.0</v>
      </c>
      <c r="B96" s="1" t="s">
        <v>92</v>
      </c>
      <c r="C96" s="1">
        <v>7023230.0</v>
      </c>
      <c r="D96" s="1" t="s">
        <v>22</v>
      </c>
      <c r="E96" s="1" t="s">
        <v>23</v>
      </c>
      <c r="F96" s="1" t="s">
        <v>89</v>
      </c>
      <c r="G96" s="1">
        <v>3.3422736E7</v>
      </c>
      <c r="H96" s="1">
        <v>3010.5524</v>
      </c>
      <c r="I96" s="3">
        <f>IFERROR(__xludf.DUMMYFUNCTION("IFERROR(VALUE(REGEXEXTRACT(F96, ""(\d+)[-\s]?Cores?"")))"),12.0)</f>
        <v>12</v>
      </c>
      <c r="J96" s="3">
        <f t="shared" si="1"/>
        <v>1</v>
      </c>
      <c r="K96" s="1">
        <f t="shared" si="2"/>
        <v>0</v>
      </c>
      <c r="L96" s="4">
        <f t="shared" si="3"/>
        <v>591.8</v>
      </c>
      <c r="M96" s="5" t="s">
        <v>41</v>
      </c>
      <c r="N96" s="1" t="s">
        <v>59</v>
      </c>
    </row>
    <row r="97" hidden="1">
      <c r="A97" s="1">
        <v>5401567.0</v>
      </c>
      <c r="B97" s="1" t="s">
        <v>92</v>
      </c>
      <c r="C97" s="1">
        <v>7023230.0</v>
      </c>
      <c r="D97" s="1" t="s">
        <v>22</v>
      </c>
      <c r="E97" s="1" t="s">
        <v>23</v>
      </c>
      <c r="F97" s="1" t="s">
        <v>89</v>
      </c>
      <c r="G97" s="1">
        <v>3.3422737E7</v>
      </c>
      <c r="H97" s="1">
        <v>3010.5524</v>
      </c>
      <c r="I97" s="3">
        <f>IFERROR(__xludf.DUMMYFUNCTION("IFERROR(VALUE(REGEXEXTRACT(F97, ""(\d+)[-\s]?Cores?"")))"),12.0)</f>
        <v>12</v>
      </c>
      <c r="J97" s="3">
        <f t="shared" si="1"/>
        <v>1</v>
      </c>
      <c r="K97" s="1">
        <f t="shared" si="2"/>
        <v>0</v>
      </c>
      <c r="L97" s="4">
        <f t="shared" si="3"/>
        <v>591.8</v>
      </c>
      <c r="M97" s="5" t="s">
        <v>41</v>
      </c>
      <c r="N97" s="1" t="s">
        <v>59</v>
      </c>
    </row>
    <row r="98">
      <c r="A98" s="1">
        <v>7011090.0</v>
      </c>
      <c r="B98" s="1" t="s">
        <v>93</v>
      </c>
      <c r="C98" s="1">
        <v>7244266.0</v>
      </c>
      <c r="D98" s="1" t="s">
        <v>22</v>
      </c>
      <c r="E98" s="1" t="s">
        <v>23</v>
      </c>
      <c r="F98" s="1" t="s">
        <v>89</v>
      </c>
      <c r="G98" s="1">
        <v>3.4967312E7</v>
      </c>
      <c r="H98" s="1">
        <v>1604.3</v>
      </c>
      <c r="I98" s="3">
        <f>IFERROR(__xludf.DUMMYFUNCTION("IFERROR(VALUE(REGEXEXTRACT(F98, ""(\d+)[-\s]?Cores?"")))"),12.0)</f>
        <v>12</v>
      </c>
      <c r="J98" s="3">
        <f t="shared" si="1"/>
        <v>1</v>
      </c>
      <c r="K98" s="1">
        <f t="shared" si="2"/>
        <v>0</v>
      </c>
      <c r="L98" s="4">
        <f t="shared" si="3"/>
        <v>591.8</v>
      </c>
      <c r="M98" s="5" t="s">
        <v>41</v>
      </c>
      <c r="N98" s="1" t="s">
        <v>33</v>
      </c>
      <c r="Q98" s="1" t="s">
        <v>94</v>
      </c>
      <c r="R98" s="1" t="s">
        <v>65</v>
      </c>
    </row>
    <row r="99">
      <c r="A99" s="1">
        <v>7011090.0</v>
      </c>
      <c r="B99" s="1" t="s">
        <v>93</v>
      </c>
      <c r="C99" s="1">
        <v>7244266.0</v>
      </c>
      <c r="D99" s="1" t="s">
        <v>22</v>
      </c>
      <c r="E99" s="1" t="s">
        <v>23</v>
      </c>
      <c r="F99" s="1" t="s">
        <v>89</v>
      </c>
      <c r="G99" s="1">
        <v>3.4967313E7</v>
      </c>
      <c r="H99" s="1">
        <v>1604.3</v>
      </c>
      <c r="I99" s="3">
        <f>IFERROR(__xludf.DUMMYFUNCTION("IFERROR(VALUE(REGEXEXTRACT(F99, ""(\d+)[-\s]?Cores?"")))"),12.0)</f>
        <v>12</v>
      </c>
      <c r="J99" s="3">
        <f t="shared" si="1"/>
        <v>1</v>
      </c>
      <c r="K99" s="1">
        <f t="shared" si="2"/>
        <v>0</v>
      </c>
      <c r="L99" s="4">
        <f t="shared" si="3"/>
        <v>591.8</v>
      </c>
      <c r="M99" s="5" t="s">
        <v>41</v>
      </c>
      <c r="N99" s="1" t="s">
        <v>33</v>
      </c>
      <c r="Q99" s="1" t="s">
        <v>94</v>
      </c>
      <c r="R99" s="1" t="s">
        <v>65</v>
      </c>
    </row>
    <row r="100">
      <c r="A100" s="1">
        <v>7011090.0</v>
      </c>
      <c r="B100" s="1" t="s">
        <v>93</v>
      </c>
      <c r="C100" s="1">
        <v>7244268.0</v>
      </c>
      <c r="D100" s="1" t="s">
        <v>22</v>
      </c>
      <c r="E100" s="1" t="s">
        <v>23</v>
      </c>
      <c r="F100" s="1" t="s">
        <v>89</v>
      </c>
      <c r="G100" s="1">
        <v>3.4967344E7</v>
      </c>
      <c r="H100" s="1">
        <v>1604.3</v>
      </c>
      <c r="I100" s="3">
        <f>IFERROR(__xludf.DUMMYFUNCTION("IFERROR(VALUE(REGEXEXTRACT(F100, ""(\d+)[-\s]?Cores?"")))"),12.0)</f>
        <v>12</v>
      </c>
      <c r="J100" s="3">
        <f t="shared" si="1"/>
        <v>1</v>
      </c>
      <c r="K100" s="1">
        <f t="shared" si="2"/>
        <v>0</v>
      </c>
      <c r="L100" s="4">
        <f t="shared" si="3"/>
        <v>591.8</v>
      </c>
      <c r="M100" s="5" t="s">
        <v>41</v>
      </c>
      <c r="N100" s="1" t="s">
        <v>33</v>
      </c>
      <c r="Q100" s="1" t="s">
        <v>94</v>
      </c>
      <c r="R100" s="1" t="s">
        <v>65</v>
      </c>
    </row>
    <row r="101">
      <c r="A101" s="1">
        <v>7011090.0</v>
      </c>
      <c r="B101" s="1" t="s">
        <v>93</v>
      </c>
      <c r="C101" s="1">
        <v>7244268.0</v>
      </c>
      <c r="D101" s="1" t="s">
        <v>22</v>
      </c>
      <c r="E101" s="1" t="s">
        <v>23</v>
      </c>
      <c r="F101" s="1" t="s">
        <v>89</v>
      </c>
      <c r="G101" s="1">
        <v>3.4967345E7</v>
      </c>
      <c r="H101" s="1">
        <v>1604.3</v>
      </c>
      <c r="I101" s="3">
        <f>IFERROR(__xludf.DUMMYFUNCTION("IFERROR(VALUE(REGEXEXTRACT(F101, ""(\d+)[-\s]?Cores?"")))"),12.0)</f>
        <v>12</v>
      </c>
      <c r="J101" s="3">
        <f t="shared" si="1"/>
        <v>1</v>
      </c>
      <c r="K101" s="1">
        <f t="shared" si="2"/>
        <v>0</v>
      </c>
      <c r="L101" s="4">
        <f t="shared" si="3"/>
        <v>591.8</v>
      </c>
      <c r="M101" s="5" t="s">
        <v>41</v>
      </c>
      <c r="N101" s="1" t="s">
        <v>33</v>
      </c>
      <c r="Q101" s="1" t="s">
        <v>94</v>
      </c>
      <c r="R101" s="1" t="s">
        <v>65</v>
      </c>
    </row>
    <row r="102">
      <c r="A102" s="1">
        <v>7011090.0</v>
      </c>
      <c r="B102" s="1" t="s">
        <v>93</v>
      </c>
      <c r="C102" s="1">
        <v>7244273.0</v>
      </c>
      <c r="D102" s="1" t="s">
        <v>22</v>
      </c>
      <c r="E102" s="1" t="s">
        <v>23</v>
      </c>
      <c r="F102" s="1" t="s">
        <v>89</v>
      </c>
      <c r="G102" s="1">
        <v>3.4967396E7</v>
      </c>
      <c r="H102" s="1">
        <v>1604.3</v>
      </c>
      <c r="I102" s="3">
        <f>IFERROR(__xludf.DUMMYFUNCTION("IFERROR(VALUE(REGEXEXTRACT(F102, ""(\d+)[-\s]?Cores?"")))"),12.0)</f>
        <v>12</v>
      </c>
      <c r="J102" s="3">
        <f t="shared" si="1"/>
        <v>1</v>
      </c>
      <c r="K102" s="1">
        <f t="shared" si="2"/>
        <v>0</v>
      </c>
      <c r="L102" s="4">
        <f t="shared" si="3"/>
        <v>591.8</v>
      </c>
      <c r="M102" s="5" t="s">
        <v>41</v>
      </c>
      <c r="N102" s="1" t="s">
        <v>33</v>
      </c>
      <c r="Q102" s="1" t="s">
        <v>94</v>
      </c>
      <c r="R102" s="1" t="s">
        <v>65</v>
      </c>
    </row>
    <row r="103">
      <c r="A103" s="1">
        <v>7011090.0</v>
      </c>
      <c r="B103" s="1" t="s">
        <v>93</v>
      </c>
      <c r="C103" s="1">
        <v>7244273.0</v>
      </c>
      <c r="D103" s="1" t="s">
        <v>22</v>
      </c>
      <c r="E103" s="1" t="s">
        <v>23</v>
      </c>
      <c r="F103" s="1" t="s">
        <v>89</v>
      </c>
      <c r="G103" s="1">
        <v>3.4967397E7</v>
      </c>
      <c r="H103" s="1">
        <v>1604.3</v>
      </c>
      <c r="I103" s="3">
        <f>IFERROR(__xludf.DUMMYFUNCTION("IFERROR(VALUE(REGEXEXTRACT(F103, ""(\d+)[-\s]?Cores?"")))"),12.0)</f>
        <v>12</v>
      </c>
      <c r="J103" s="3">
        <f t="shared" si="1"/>
        <v>1</v>
      </c>
      <c r="K103" s="1">
        <f t="shared" si="2"/>
        <v>0</v>
      </c>
      <c r="L103" s="4">
        <f t="shared" si="3"/>
        <v>591.8</v>
      </c>
      <c r="M103" s="5" t="s">
        <v>41</v>
      </c>
      <c r="N103" s="1" t="s">
        <v>33</v>
      </c>
      <c r="Q103" s="1" t="s">
        <v>94</v>
      </c>
      <c r="R103" s="1" t="s">
        <v>65</v>
      </c>
    </row>
    <row r="104">
      <c r="A104" s="1">
        <v>7011090.0</v>
      </c>
      <c r="B104" s="1" t="s">
        <v>93</v>
      </c>
      <c r="C104" s="1">
        <v>7244274.0</v>
      </c>
      <c r="D104" s="1" t="s">
        <v>22</v>
      </c>
      <c r="E104" s="1" t="s">
        <v>23</v>
      </c>
      <c r="F104" s="1" t="s">
        <v>89</v>
      </c>
      <c r="G104" s="1">
        <v>3.4967427E7</v>
      </c>
      <c r="H104" s="1">
        <v>1604.3</v>
      </c>
      <c r="I104" s="3">
        <f>IFERROR(__xludf.DUMMYFUNCTION("IFERROR(VALUE(REGEXEXTRACT(F104, ""(\d+)[-\s]?Cores?"")))"),12.0)</f>
        <v>12</v>
      </c>
      <c r="J104" s="3">
        <f t="shared" si="1"/>
        <v>1</v>
      </c>
      <c r="K104" s="1">
        <f t="shared" si="2"/>
        <v>0</v>
      </c>
      <c r="L104" s="4">
        <f t="shared" si="3"/>
        <v>591.8</v>
      </c>
      <c r="M104" s="5" t="s">
        <v>41</v>
      </c>
      <c r="N104" s="1" t="s">
        <v>33</v>
      </c>
      <c r="Q104" s="1" t="s">
        <v>94</v>
      </c>
      <c r="R104" s="1" t="s">
        <v>65</v>
      </c>
    </row>
    <row r="105">
      <c r="A105" s="1">
        <v>7011090.0</v>
      </c>
      <c r="B105" s="1" t="s">
        <v>93</v>
      </c>
      <c r="C105" s="1">
        <v>7244274.0</v>
      </c>
      <c r="D105" s="1" t="s">
        <v>22</v>
      </c>
      <c r="E105" s="1" t="s">
        <v>23</v>
      </c>
      <c r="F105" s="1" t="s">
        <v>89</v>
      </c>
      <c r="G105" s="1">
        <v>3.4967428E7</v>
      </c>
      <c r="H105" s="1">
        <v>1604.3</v>
      </c>
      <c r="I105" s="3">
        <f>IFERROR(__xludf.DUMMYFUNCTION("IFERROR(VALUE(REGEXEXTRACT(F105, ""(\d+)[-\s]?Cores?"")))"),12.0)</f>
        <v>12</v>
      </c>
      <c r="J105" s="3">
        <f t="shared" si="1"/>
        <v>1</v>
      </c>
      <c r="K105" s="1">
        <f t="shared" si="2"/>
        <v>0</v>
      </c>
      <c r="L105" s="4">
        <f t="shared" si="3"/>
        <v>591.8</v>
      </c>
      <c r="M105" s="5" t="s">
        <v>41</v>
      </c>
      <c r="N105" s="1" t="s">
        <v>33</v>
      </c>
      <c r="Q105" s="1" t="s">
        <v>94</v>
      </c>
      <c r="R105" s="1" t="s">
        <v>65</v>
      </c>
    </row>
    <row r="106" hidden="1">
      <c r="A106" s="1">
        <v>7014917.0</v>
      </c>
      <c r="B106" s="1" t="s">
        <v>87</v>
      </c>
      <c r="C106" s="1">
        <v>7255960.0</v>
      </c>
      <c r="D106" s="1" t="s">
        <v>88</v>
      </c>
      <c r="E106" s="1" t="s">
        <v>23</v>
      </c>
      <c r="F106" s="1" t="s">
        <v>89</v>
      </c>
      <c r="G106" s="1">
        <v>3.5277948E7</v>
      </c>
      <c r="H106" s="1">
        <v>2660.6215</v>
      </c>
      <c r="I106" s="3">
        <f>IFERROR(__xludf.DUMMYFUNCTION("IFERROR(VALUE(REGEXEXTRACT(F106, ""(\d+)[-\s]?Cores?"")))"),12.0)</f>
        <v>12</v>
      </c>
      <c r="J106" s="3">
        <f t="shared" si="1"/>
        <v>1</v>
      </c>
      <c r="K106" s="1">
        <f t="shared" si="2"/>
        <v>0</v>
      </c>
      <c r="L106" s="4">
        <f t="shared" si="3"/>
        <v>591.8</v>
      </c>
      <c r="M106" s="5" t="s">
        <v>41</v>
      </c>
      <c r="N106" s="1" t="s">
        <v>48</v>
      </c>
      <c r="O106" s="1" t="s">
        <v>90</v>
      </c>
      <c r="P106" s="1" t="s">
        <v>50</v>
      </c>
      <c r="R106" s="1" t="s">
        <v>91</v>
      </c>
    </row>
    <row r="107" hidden="1">
      <c r="A107" s="1">
        <v>7014917.0</v>
      </c>
      <c r="B107" s="1" t="s">
        <v>87</v>
      </c>
      <c r="C107" s="1">
        <v>7255960.0</v>
      </c>
      <c r="D107" s="1" t="s">
        <v>88</v>
      </c>
      <c r="E107" s="1" t="s">
        <v>23</v>
      </c>
      <c r="F107" s="1" t="s">
        <v>89</v>
      </c>
      <c r="G107" s="1">
        <v>3.5277949E7</v>
      </c>
      <c r="H107" s="1">
        <v>2660.6215</v>
      </c>
      <c r="I107" s="3">
        <f>IFERROR(__xludf.DUMMYFUNCTION("IFERROR(VALUE(REGEXEXTRACT(F107, ""(\d+)[-\s]?Cores?"")))"),12.0)</f>
        <v>12</v>
      </c>
      <c r="J107" s="3">
        <f t="shared" si="1"/>
        <v>1</v>
      </c>
      <c r="K107" s="1">
        <f t="shared" si="2"/>
        <v>0</v>
      </c>
      <c r="L107" s="4">
        <f t="shared" si="3"/>
        <v>591.8</v>
      </c>
      <c r="M107" s="5" t="s">
        <v>41</v>
      </c>
      <c r="N107" s="1" t="s">
        <v>48</v>
      </c>
      <c r="O107" s="1" t="s">
        <v>90</v>
      </c>
      <c r="P107" s="1" t="s">
        <v>50</v>
      </c>
      <c r="R107" s="1" t="s">
        <v>91</v>
      </c>
    </row>
    <row r="108" hidden="1">
      <c r="A108" s="1">
        <v>7014917.0</v>
      </c>
      <c r="B108" s="1" t="s">
        <v>87</v>
      </c>
      <c r="C108" s="1">
        <v>7255961.0</v>
      </c>
      <c r="D108" s="1" t="s">
        <v>88</v>
      </c>
      <c r="E108" s="1" t="s">
        <v>23</v>
      </c>
      <c r="F108" s="1" t="s">
        <v>89</v>
      </c>
      <c r="G108" s="1">
        <v>3.5277969E7</v>
      </c>
      <c r="H108" s="1">
        <v>2660.6215</v>
      </c>
      <c r="I108" s="3">
        <f>IFERROR(__xludf.DUMMYFUNCTION("IFERROR(VALUE(REGEXEXTRACT(F108, ""(\d+)[-\s]?Cores?"")))"),12.0)</f>
        <v>12</v>
      </c>
      <c r="J108" s="3">
        <f t="shared" si="1"/>
        <v>1</v>
      </c>
      <c r="K108" s="1">
        <f t="shared" si="2"/>
        <v>0</v>
      </c>
      <c r="L108" s="4">
        <f t="shared" si="3"/>
        <v>591.8</v>
      </c>
      <c r="M108" s="5" t="s">
        <v>41</v>
      </c>
      <c r="N108" s="1" t="s">
        <v>48</v>
      </c>
      <c r="O108" s="1" t="s">
        <v>90</v>
      </c>
      <c r="P108" s="1" t="s">
        <v>50</v>
      </c>
      <c r="R108" s="1" t="s">
        <v>91</v>
      </c>
    </row>
    <row r="109" hidden="1">
      <c r="A109" s="1">
        <v>7014917.0</v>
      </c>
      <c r="B109" s="1" t="s">
        <v>87</v>
      </c>
      <c r="C109" s="1">
        <v>7255961.0</v>
      </c>
      <c r="D109" s="1" t="s">
        <v>88</v>
      </c>
      <c r="E109" s="1" t="s">
        <v>23</v>
      </c>
      <c r="F109" s="1" t="s">
        <v>89</v>
      </c>
      <c r="G109" s="1">
        <v>3.527797E7</v>
      </c>
      <c r="H109" s="1">
        <v>2660.6215</v>
      </c>
      <c r="I109" s="3">
        <f>IFERROR(__xludf.DUMMYFUNCTION("IFERROR(VALUE(REGEXEXTRACT(F109, ""(\d+)[-\s]?Cores?"")))"),12.0)</f>
        <v>12</v>
      </c>
      <c r="J109" s="3">
        <f t="shared" si="1"/>
        <v>1</v>
      </c>
      <c r="K109" s="1">
        <f t="shared" si="2"/>
        <v>0</v>
      </c>
      <c r="L109" s="4">
        <f t="shared" si="3"/>
        <v>591.8</v>
      </c>
      <c r="M109" s="5" t="s">
        <v>41</v>
      </c>
      <c r="N109" s="1" t="s">
        <v>48</v>
      </c>
      <c r="O109" s="1" t="s">
        <v>90</v>
      </c>
      <c r="P109" s="1" t="s">
        <v>50</v>
      </c>
      <c r="R109" s="1" t="s">
        <v>91</v>
      </c>
    </row>
    <row r="110" hidden="1">
      <c r="A110" s="1">
        <v>7014917.0</v>
      </c>
      <c r="B110" s="1" t="s">
        <v>87</v>
      </c>
      <c r="C110" s="1">
        <v>7255962.0</v>
      </c>
      <c r="D110" s="1" t="s">
        <v>88</v>
      </c>
      <c r="E110" s="1" t="s">
        <v>23</v>
      </c>
      <c r="F110" s="1" t="s">
        <v>89</v>
      </c>
      <c r="G110" s="1">
        <v>3.527799E7</v>
      </c>
      <c r="H110" s="1">
        <v>2660.6215</v>
      </c>
      <c r="I110" s="3">
        <f>IFERROR(__xludf.DUMMYFUNCTION("IFERROR(VALUE(REGEXEXTRACT(F110, ""(\d+)[-\s]?Cores?"")))"),12.0)</f>
        <v>12</v>
      </c>
      <c r="J110" s="3">
        <f t="shared" si="1"/>
        <v>1</v>
      </c>
      <c r="K110" s="1">
        <f t="shared" si="2"/>
        <v>0</v>
      </c>
      <c r="L110" s="4">
        <f t="shared" si="3"/>
        <v>591.8</v>
      </c>
      <c r="M110" s="5" t="s">
        <v>41</v>
      </c>
      <c r="N110" s="1" t="s">
        <v>48</v>
      </c>
      <c r="O110" s="1" t="s">
        <v>90</v>
      </c>
      <c r="P110" s="1" t="s">
        <v>50</v>
      </c>
      <c r="R110" s="1" t="s">
        <v>91</v>
      </c>
    </row>
    <row r="111" hidden="1">
      <c r="A111" s="1">
        <v>7014917.0</v>
      </c>
      <c r="B111" s="1" t="s">
        <v>87</v>
      </c>
      <c r="C111" s="1">
        <v>7255962.0</v>
      </c>
      <c r="D111" s="1" t="s">
        <v>88</v>
      </c>
      <c r="E111" s="1" t="s">
        <v>23</v>
      </c>
      <c r="F111" s="1" t="s">
        <v>89</v>
      </c>
      <c r="G111" s="1">
        <v>3.5277991E7</v>
      </c>
      <c r="H111" s="1">
        <v>2660.6215</v>
      </c>
      <c r="I111" s="3">
        <f>IFERROR(__xludf.DUMMYFUNCTION("IFERROR(VALUE(REGEXEXTRACT(F111, ""(\d+)[-\s]?Cores?"")))"),12.0)</f>
        <v>12</v>
      </c>
      <c r="J111" s="3">
        <f t="shared" si="1"/>
        <v>1</v>
      </c>
      <c r="K111" s="1">
        <f t="shared" si="2"/>
        <v>0</v>
      </c>
      <c r="L111" s="4">
        <f t="shared" si="3"/>
        <v>591.8</v>
      </c>
      <c r="M111" s="5" t="s">
        <v>41</v>
      </c>
      <c r="N111" s="1" t="s">
        <v>48</v>
      </c>
      <c r="O111" s="1" t="s">
        <v>90</v>
      </c>
      <c r="P111" s="1" t="s">
        <v>50</v>
      </c>
      <c r="R111" s="1" t="s">
        <v>91</v>
      </c>
    </row>
    <row r="112" hidden="1">
      <c r="A112" s="1">
        <v>7002412.0</v>
      </c>
      <c r="B112" s="1" t="s">
        <v>95</v>
      </c>
      <c r="C112" s="1">
        <v>7286154.0</v>
      </c>
      <c r="D112" s="1" t="s">
        <v>22</v>
      </c>
      <c r="E112" s="1" t="s">
        <v>23</v>
      </c>
      <c r="F112" s="1" t="s">
        <v>89</v>
      </c>
      <c r="G112" s="1">
        <v>3.608563E7</v>
      </c>
      <c r="H112" s="1">
        <v>3759.0144</v>
      </c>
      <c r="I112" s="3">
        <f>IFERROR(__xludf.DUMMYFUNCTION("IFERROR(VALUE(REGEXEXTRACT(F112, ""(\d+)[-\s]?Cores?"")))"),12.0)</f>
        <v>12</v>
      </c>
      <c r="J112" s="3">
        <f t="shared" si="1"/>
        <v>1</v>
      </c>
      <c r="K112" s="1">
        <f t="shared" si="2"/>
        <v>0</v>
      </c>
      <c r="L112" s="4">
        <f t="shared" si="3"/>
        <v>591.8</v>
      </c>
      <c r="M112" s="5" t="s">
        <v>41</v>
      </c>
      <c r="N112" s="1" t="s">
        <v>48</v>
      </c>
      <c r="O112" s="1" t="s">
        <v>96</v>
      </c>
      <c r="P112" s="1" t="s">
        <v>50</v>
      </c>
      <c r="R112" s="1" t="s">
        <v>97</v>
      </c>
    </row>
    <row r="113" hidden="1">
      <c r="A113" s="1">
        <v>7002412.0</v>
      </c>
      <c r="B113" s="1" t="s">
        <v>95</v>
      </c>
      <c r="C113" s="1">
        <v>7286154.0</v>
      </c>
      <c r="D113" s="1" t="s">
        <v>22</v>
      </c>
      <c r="E113" s="1" t="s">
        <v>23</v>
      </c>
      <c r="F113" s="1" t="s">
        <v>89</v>
      </c>
      <c r="G113" s="1">
        <v>3.6085631E7</v>
      </c>
      <c r="H113" s="1">
        <v>3759.0144</v>
      </c>
      <c r="I113" s="3">
        <f>IFERROR(__xludf.DUMMYFUNCTION("IFERROR(VALUE(REGEXEXTRACT(F113, ""(\d+)[-\s]?Cores?"")))"),12.0)</f>
        <v>12</v>
      </c>
      <c r="J113" s="3">
        <f t="shared" si="1"/>
        <v>1</v>
      </c>
      <c r="K113" s="1">
        <f t="shared" si="2"/>
        <v>0</v>
      </c>
      <c r="L113" s="4">
        <f t="shared" si="3"/>
        <v>591.8</v>
      </c>
      <c r="M113" s="5" t="s">
        <v>41</v>
      </c>
      <c r="N113" s="1" t="s">
        <v>48</v>
      </c>
      <c r="O113" s="1" t="s">
        <v>96</v>
      </c>
      <c r="P113" s="1" t="s">
        <v>50</v>
      </c>
      <c r="R113" s="1" t="s">
        <v>97</v>
      </c>
    </row>
    <row r="114" hidden="1">
      <c r="A114" s="1">
        <v>7002412.0</v>
      </c>
      <c r="B114" s="1" t="s">
        <v>95</v>
      </c>
      <c r="C114" s="1">
        <v>7286155.0</v>
      </c>
      <c r="D114" s="1" t="s">
        <v>22</v>
      </c>
      <c r="E114" s="1" t="s">
        <v>23</v>
      </c>
      <c r="F114" s="1" t="s">
        <v>89</v>
      </c>
      <c r="G114" s="1">
        <v>3.6085661E7</v>
      </c>
      <c r="H114" s="1">
        <v>3759.0144</v>
      </c>
      <c r="I114" s="3">
        <f>IFERROR(__xludf.DUMMYFUNCTION("IFERROR(VALUE(REGEXEXTRACT(F114, ""(\d+)[-\s]?Cores?"")))"),12.0)</f>
        <v>12</v>
      </c>
      <c r="J114" s="3">
        <f t="shared" si="1"/>
        <v>1</v>
      </c>
      <c r="K114" s="1">
        <f t="shared" si="2"/>
        <v>0</v>
      </c>
      <c r="L114" s="4">
        <f t="shared" si="3"/>
        <v>591.8</v>
      </c>
      <c r="M114" s="5" t="s">
        <v>41</v>
      </c>
      <c r="N114" s="1" t="s">
        <v>48</v>
      </c>
      <c r="O114" s="1" t="s">
        <v>96</v>
      </c>
      <c r="P114" s="1" t="s">
        <v>50</v>
      </c>
      <c r="R114" s="1" t="s">
        <v>97</v>
      </c>
    </row>
    <row r="115" hidden="1">
      <c r="A115" s="1">
        <v>7002412.0</v>
      </c>
      <c r="B115" s="1" t="s">
        <v>95</v>
      </c>
      <c r="C115" s="1">
        <v>7286155.0</v>
      </c>
      <c r="D115" s="1" t="s">
        <v>22</v>
      </c>
      <c r="E115" s="1" t="s">
        <v>23</v>
      </c>
      <c r="F115" s="1" t="s">
        <v>89</v>
      </c>
      <c r="G115" s="1">
        <v>3.6085662E7</v>
      </c>
      <c r="H115" s="1">
        <v>3759.0144</v>
      </c>
      <c r="I115" s="3">
        <f>IFERROR(__xludf.DUMMYFUNCTION("IFERROR(VALUE(REGEXEXTRACT(F115, ""(\d+)[-\s]?Cores?"")))"),12.0)</f>
        <v>12</v>
      </c>
      <c r="J115" s="3">
        <f t="shared" si="1"/>
        <v>1</v>
      </c>
      <c r="K115" s="1">
        <f t="shared" si="2"/>
        <v>0</v>
      </c>
      <c r="L115" s="4">
        <f t="shared" si="3"/>
        <v>591.8</v>
      </c>
      <c r="M115" s="5" t="s">
        <v>41</v>
      </c>
      <c r="N115" s="1" t="s">
        <v>48</v>
      </c>
      <c r="O115" s="1" t="s">
        <v>96</v>
      </c>
      <c r="P115" s="1" t="s">
        <v>50</v>
      </c>
      <c r="R115" s="1" t="s">
        <v>97</v>
      </c>
    </row>
    <row r="116" hidden="1">
      <c r="A116" s="1">
        <v>7002412.0</v>
      </c>
      <c r="B116" s="1" t="s">
        <v>95</v>
      </c>
      <c r="C116" s="1">
        <v>7286156.0</v>
      </c>
      <c r="D116" s="1" t="s">
        <v>22</v>
      </c>
      <c r="E116" s="1" t="s">
        <v>23</v>
      </c>
      <c r="F116" s="1" t="s">
        <v>89</v>
      </c>
      <c r="G116" s="1">
        <v>3.6085692E7</v>
      </c>
      <c r="H116" s="1">
        <v>3759.0144</v>
      </c>
      <c r="I116" s="3">
        <f>IFERROR(__xludf.DUMMYFUNCTION("IFERROR(VALUE(REGEXEXTRACT(F116, ""(\d+)[-\s]?Cores?"")))"),12.0)</f>
        <v>12</v>
      </c>
      <c r="J116" s="3">
        <f t="shared" si="1"/>
        <v>1</v>
      </c>
      <c r="K116" s="1">
        <f t="shared" si="2"/>
        <v>0</v>
      </c>
      <c r="L116" s="4">
        <f t="shared" si="3"/>
        <v>591.8</v>
      </c>
      <c r="M116" s="5" t="s">
        <v>41</v>
      </c>
      <c r="N116" s="1" t="s">
        <v>48</v>
      </c>
      <c r="O116" s="1" t="s">
        <v>96</v>
      </c>
      <c r="P116" s="1" t="s">
        <v>50</v>
      </c>
      <c r="R116" s="1" t="s">
        <v>97</v>
      </c>
    </row>
    <row r="117" hidden="1">
      <c r="A117" s="1">
        <v>7002412.0</v>
      </c>
      <c r="B117" s="1" t="s">
        <v>95</v>
      </c>
      <c r="C117" s="1">
        <v>7286156.0</v>
      </c>
      <c r="D117" s="1" t="s">
        <v>22</v>
      </c>
      <c r="E117" s="1" t="s">
        <v>23</v>
      </c>
      <c r="F117" s="1" t="s">
        <v>89</v>
      </c>
      <c r="G117" s="1">
        <v>3.6085693E7</v>
      </c>
      <c r="H117" s="1">
        <v>3759.0144</v>
      </c>
      <c r="I117" s="3">
        <f>IFERROR(__xludf.DUMMYFUNCTION("IFERROR(VALUE(REGEXEXTRACT(F117, ""(\d+)[-\s]?Cores?"")))"),12.0)</f>
        <v>12</v>
      </c>
      <c r="J117" s="3">
        <f t="shared" si="1"/>
        <v>1</v>
      </c>
      <c r="K117" s="1">
        <f t="shared" si="2"/>
        <v>0</v>
      </c>
      <c r="L117" s="4">
        <f t="shared" si="3"/>
        <v>591.8</v>
      </c>
      <c r="M117" s="5" t="s">
        <v>41</v>
      </c>
      <c r="N117" s="1" t="s">
        <v>48</v>
      </c>
      <c r="O117" s="1" t="s">
        <v>96</v>
      </c>
      <c r="P117" s="1" t="s">
        <v>50</v>
      </c>
      <c r="R117" s="1" t="s">
        <v>97</v>
      </c>
    </row>
    <row r="118" hidden="1">
      <c r="A118" s="1">
        <v>7013249.0</v>
      </c>
      <c r="B118" s="1" t="s">
        <v>98</v>
      </c>
      <c r="C118" s="1">
        <v>7287595.0</v>
      </c>
      <c r="D118" s="1" t="s">
        <v>53</v>
      </c>
      <c r="E118" s="1" t="s">
        <v>23</v>
      </c>
      <c r="F118" s="1" t="s">
        <v>89</v>
      </c>
      <c r="G118" s="1">
        <v>3.6122724E7</v>
      </c>
      <c r="H118" s="1">
        <v>1957.8552</v>
      </c>
      <c r="I118" s="3">
        <f>IFERROR(__xludf.DUMMYFUNCTION("IFERROR(VALUE(REGEXEXTRACT(F118, ""(\d+)[-\s]?Cores?"")))"),12.0)</f>
        <v>12</v>
      </c>
      <c r="J118" s="3">
        <f t="shared" si="1"/>
        <v>1</v>
      </c>
      <c r="K118" s="1">
        <f t="shared" si="2"/>
        <v>0</v>
      </c>
      <c r="L118" s="4">
        <f t="shared" si="3"/>
        <v>591.8</v>
      </c>
      <c r="M118" s="5" t="s">
        <v>41</v>
      </c>
      <c r="N118" s="1" t="s">
        <v>99</v>
      </c>
      <c r="O118" s="1" t="s">
        <v>100</v>
      </c>
      <c r="P118" s="1" t="s">
        <v>43</v>
      </c>
      <c r="Q118" s="1" t="s">
        <v>101</v>
      </c>
    </row>
    <row r="119" hidden="1">
      <c r="A119" s="1">
        <v>7013249.0</v>
      </c>
      <c r="B119" s="1" t="s">
        <v>98</v>
      </c>
      <c r="C119" s="1">
        <v>7287595.0</v>
      </c>
      <c r="D119" s="1" t="s">
        <v>53</v>
      </c>
      <c r="E119" s="1" t="s">
        <v>23</v>
      </c>
      <c r="F119" s="1" t="s">
        <v>89</v>
      </c>
      <c r="G119" s="1">
        <v>3.6122725E7</v>
      </c>
      <c r="H119" s="1">
        <v>1957.8552</v>
      </c>
      <c r="I119" s="3">
        <f>IFERROR(__xludf.DUMMYFUNCTION("IFERROR(VALUE(REGEXEXTRACT(F119, ""(\d+)[-\s]?Cores?"")))"),12.0)</f>
        <v>12</v>
      </c>
      <c r="J119" s="3">
        <f t="shared" si="1"/>
        <v>1</v>
      </c>
      <c r="K119" s="1">
        <f t="shared" si="2"/>
        <v>0</v>
      </c>
      <c r="L119" s="4">
        <f t="shared" si="3"/>
        <v>591.8</v>
      </c>
      <c r="M119" s="5" t="s">
        <v>41</v>
      </c>
      <c r="N119" s="1" t="s">
        <v>99</v>
      </c>
      <c r="O119" s="1" t="s">
        <v>100</v>
      </c>
      <c r="P119" s="1" t="s">
        <v>43</v>
      </c>
      <c r="Q119" s="1" t="s">
        <v>101</v>
      </c>
    </row>
    <row r="120" hidden="1">
      <c r="A120" s="1">
        <v>7013249.0</v>
      </c>
      <c r="B120" s="1" t="s">
        <v>98</v>
      </c>
      <c r="C120" s="1">
        <v>7287597.0</v>
      </c>
      <c r="D120" s="1" t="s">
        <v>53</v>
      </c>
      <c r="E120" s="1" t="s">
        <v>23</v>
      </c>
      <c r="F120" s="1" t="s">
        <v>89</v>
      </c>
      <c r="G120" s="1">
        <v>3.6122758E7</v>
      </c>
      <c r="H120" s="1">
        <v>2029.5959</v>
      </c>
      <c r="I120" s="3">
        <f>IFERROR(__xludf.DUMMYFUNCTION("IFERROR(VALUE(REGEXEXTRACT(F120, ""(\d+)[-\s]?Cores?"")))"),12.0)</f>
        <v>12</v>
      </c>
      <c r="J120" s="3">
        <f t="shared" si="1"/>
        <v>1</v>
      </c>
      <c r="K120" s="1">
        <f t="shared" si="2"/>
        <v>0</v>
      </c>
      <c r="L120" s="4">
        <f t="shared" si="3"/>
        <v>591.8</v>
      </c>
      <c r="M120" s="5" t="s">
        <v>41</v>
      </c>
      <c r="N120" s="1" t="s">
        <v>99</v>
      </c>
      <c r="O120" s="1" t="s">
        <v>100</v>
      </c>
      <c r="P120" s="1" t="s">
        <v>43</v>
      </c>
      <c r="Q120" s="1" t="s">
        <v>101</v>
      </c>
    </row>
    <row r="121" hidden="1">
      <c r="A121" s="1">
        <v>7013249.0</v>
      </c>
      <c r="B121" s="1" t="s">
        <v>98</v>
      </c>
      <c r="C121" s="1">
        <v>7287597.0</v>
      </c>
      <c r="D121" s="1" t="s">
        <v>53</v>
      </c>
      <c r="E121" s="1" t="s">
        <v>23</v>
      </c>
      <c r="F121" s="1" t="s">
        <v>89</v>
      </c>
      <c r="G121" s="1">
        <v>3.6122759E7</v>
      </c>
      <c r="H121" s="1">
        <v>2029.5959</v>
      </c>
      <c r="I121" s="3">
        <f>IFERROR(__xludf.DUMMYFUNCTION("IFERROR(VALUE(REGEXEXTRACT(F121, ""(\d+)[-\s]?Cores?"")))"),12.0)</f>
        <v>12</v>
      </c>
      <c r="J121" s="3">
        <f t="shared" si="1"/>
        <v>1</v>
      </c>
      <c r="K121" s="1">
        <f t="shared" si="2"/>
        <v>0</v>
      </c>
      <c r="L121" s="4">
        <f t="shared" si="3"/>
        <v>591.8</v>
      </c>
      <c r="M121" s="5" t="s">
        <v>41</v>
      </c>
      <c r="N121" s="1" t="s">
        <v>99</v>
      </c>
      <c r="O121" s="1" t="s">
        <v>100</v>
      </c>
      <c r="P121" s="1" t="s">
        <v>43</v>
      </c>
      <c r="Q121" s="1" t="s">
        <v>101</v>
      </c>
    </row>
    <row r="122" hidden="1">
      <c r="A122" s="1">
        <v>7014042.0</v>
      </c>
      <c r="B122" s="1" t="s">
        <v>102</v>
      </c>
      <c r="C122" s="1">
        <v>7306541.0</v>
      </c>
      <c r="D122" s="1" t="s">
        <v>22</v>
      </c>
      <c r="E122" s="1" t="s">
        <v>23</v>
      </c>
      <c r="F122" s="1" t="s">
        <v>89</v>
      </c>
      <c r="G122" s="1">
        <v>3.6277268E7</v>
      </c>
      <c r="H122" s="1">
        <v>5459.7717</v>
      </c>
      <c r="I122" s="3">
        <f>IFERROR(__xludf.DUMMYFUNCTION("IFERROR(VALUE(REGEXEXTRACT(F122, ""(\d+)[-\s]?Cores?"")))"),12.0)</f>
        <v>12</v>
      </c>
      <c r="J122" s="3">
        <f t="shared" si="1"/>
        <v>1</v>
      </c>
      <c r="K122" s="1">
        <f t="shared" si="2"/>
        <v>0</v>
      </c>
      <c r="L122" s="4">
        <f t="shared" si="3"/>
        <v>591.8</v>
      </c>
      <c r="M122" s="5" t="s">
        <v>41</v>
      </c>
      <c r="N122" s="1" t="s">
        <v>59</v>
      </c>
    </row>
    <row r="123" hidden="1">
      <c r="A123" s="1">
        <v>7014042.0</v>
      </c>
      <c r="B123" s="1" t="s">
        <v>102</v>
      </c>
      <c r="C123" s="1">
        <v>7306541.0</v>
      </c>
      <c r="D123" s="1" t="s">
        <v>22</v>
      </c>
      <c r="E123" s="1" t="s">
        <v>23</v>
      </c>
      <c r="F123" s="1" t="s">
        <v>89</v>
      </c>
      <c r="G123" s="1">
        <v>3.6277269E7</v>
      </c>
      <c r="H123" s="1">
        <v>5459.7717</v>
      </c>
      <c r="I123" s="3">
        <f>IFERROR(__xludf.DUMMYFUNCTION("IFERROR(VALUE(REGEXEXTRACT(F123, ""(\d+)[-\s]?Cores?"")))"),12.0)</f>
        <v>12</v>
      </c>
      <c r="J123" s="3">
        <f t="shared" si="1"/>
        <v>1</v>
      </c>
      <c r="K123" s="1">
        <f t="shared" si="2"/>
        <v>0</v>
      </c>
      <c r="L123" s="4">
        <f t="shared" si="3"/>
        <v>591.8</v>
      </c>
      <c r="M123" s="5" t="s">
        <v>41</v>
      </c>
      <c r="N123" s="1" t="s">
        <v>59</v>
      </c>
    </row>
    <row r="124" hidden="1">
      <c r="A124" s="1">
        <v>7014042.0</v>
      </c>
      <c r="B124" s="1" t="s">
        <v>102</v>
      </c>
      <c r="C124" s="1">
        <v>7306542.0</v>
      </c>
      <c r="D124" s="1" t="s">
        <v>22</v>
      </c>
      <c r="E124" s="1" t="s">
        <v>23</v>
      </c>
      <c r="F124" s="1" t="s">
        <v>89</v>
      </c>
      <c r="G124" s="1">
        <v>3.6277296E7</v>
      </c>
      <c r="H124" s="1">
        <v>5459.7717</v>
      </c>
      <c r="I124" s="3">
        <f>IFERROR(__xludf.DUMMYFUNCTION("IFERROR(VALUE(REGEXEXTRACT(F124, ""(\d+)[-\s]?Cores?"")))"),12.0)</f>
        <v>12</v>
      </c>
      <c r="J124" s="3">
        <f t="shared" si="1"/>
        <v>1</v>
      </c>
      <c r="K124" s="1">
        <f t="shared" si="2"/>
        <v>0</v>
      </c>
      <c r="L124" s="4">
        <f t="shared" si="3"/>
        <v>591.8</v>
      </c>
      <c r="M124" s="5" t="s">
        <v>41</v>
      </c>
      <c r="N124" s="1" t="s">
        <v>59</v>
      </c>
    </row>
    <row r="125" hidden="1">
      <c r="A125" s="1">
        <v>7014042.0</v>
      </c>
      <c r="B125" s="1" t="s">
        <v>102</v>
      </c>
      <c r="C125" s="1">
        <v>7306542.0</v>
      </c>
      <c r="D125" s="1" t="s">
        <v>22</v>
      </c>
      <c r="E125" s="1" t="s">
        <v>23</v>
      </c>
      <c r="F125" s="1" t="s">
        <v>89</v>
      </c>
      <c r="G125" s="1">
        <v>3.6277297E7</v>
      </c>
      <c r="H125" s="1">
        <v>5459.7717</v>
      </c>
      <c r="I125" s="3">
        <f>IFERROR(__xludf.DUMMYFUNCTION("IFERROR(VALUE(REGEXEXTRACT(F125, ""(\d+)[-\s]?Cores?"")))"),12.0)</f>
        <v>12</v>
      </c>
      <c r="J125" s="3">
        <f t="shared" si="1"/>
        <v>1</v>
      </c>
      <c r="K125" s="1">
        <f t="shared" si="2"/>
        <v>0</v>
      </c>
      <c r="L125" s="4">
        <f t="shared" si="3"/>
        <v>591.8</v>
      </c>
      <c r="M125" s="5" t="s">
        <v>41</v>
      </c>
      <c r="N125" s="1" t="s">
        <v>59</v>
      </c>
    </row>
    <row r="126" hidden="1">
      <c r="A126" s="1">
        <v>7014042.0</v>
      </c>
      <c r="B126" s="1" t="s">
        <v>102</v>
      </c>
      <c r="C126" s="1">
        <v>7306543.0</v>
      </c>
      <c r="D126" s="1" t="s">
        <v>22</v>
      </c>
      <c r="E126" s="1" t="s">
        <v>23</v>
      </c>
      <c r="F126" s="1" t="s">
        <v>89</v>
      </c>
      <c r="G126" s="1">
        <v>3.6277324E7</v>
      </c>
      <c r="H126" s="1">
        <v>5459.7717</v>
      </c>
      <c r="I126" s="3">
        <f>IFERROR(__xludf.DUMMYFUNCTION("IFERROR(VALUE(REGEXEXTRACT(F126, ""(\d+)[-\s]?Cores?"")))"),12.0)</f>
        <v>12</v>
      </c>
      <c r="J126" s="3">
        <f t="shared" si="1"/>
        <v>1</v>
      </c>
      <c r="K126" s="1">
        <f t="shared" si="2"/>
        <v>0</v>
      </c>
      <c r="L126" s="4">
        <f t="shared" si="3"/>
        <v>591.8</v>
      </c>
      <c r="M126" s="5" t="s">
        <v>41</v>
      </c>
      <c r="N126" s="1" t="s">
        <v>59</v>
      </c>
    </row>
    <row r="127" hidden="1">
      <c r="A127" s="1">
        <v>7014042.0</v>
      </c>
      <c r="B127" s="1" t="s">
        <v>102</v>
      </c>
      <c r="C127" s="1">
        <v>7306543.0</v>
      </c>
      <c r="D127" s="1" t="s">
        <v>22</v>
      </c>
      <c r="E127" s="1" t="s">
        <v>23</v>
      </c>
      <c r="F127" s="1" t="s">
        <v>89</v>
      </c>
      <c r="G127" s="1">
        <v>3.6277325E7</v>
      </c>
      <c r="H127" s="1">
        <v>5459.7717</v>
      </c>
      <c r="I127" s="3">
        <f>IFERROR(__xludf.DUMMYFUNCTION("IFERROR(VALUE(REGEXEXTRACT(F127, ""(\d+)[-\s]?Cores?"")))"),12.0)</f>
        <v>12</v>
      </c>
      <c r="J127" s="3">
        <f t="shared" si="1"/>
        <v>1</v>
      </c>
      <c r="K127" s="1">
        <f t="shared" si="2"/>
        <v>0</v>
      </c>
      <c r="L127" s="4">
        <f t="shared" si="3"/>
        <v>591.8</v>
      </c>
      <c r="M127" s="5" t="s">
        <v>41</v>
      </c>
      <c r="N127" s="1" t="s">
        <v>59</v>
      </c>
    </row>
    <row r="128" hidden="1">
      <c r="A128" s="1">
        <v>7014042.0</v>
      </c>
      <c r="B128" s="1" t="s">
        <v>102</v>
      </c>
      <c r="C128" s="1">
        <v>7306616.0</v>
      </c>
      <c r="D128" s="1" t="s">
        <v>22</v>
      </c>
      <c r="E128" s="1" t="s">
        <v>23</v>
      </c>
      <c r="F128" s="1" t="s">
        <v>89</v>
      </c>
      <c r="G128" s="1">
        <v>3.6278497E7</v>
      </c>
      <c r="H128" s="1">
        <v>6220.434</v>
      </c>
      <c r="I128" s="3">
        <f>IFERROR(__xludf.DUMMYFUNCTION("IFERROR(VALUE(REGEXEXTRACT(F128, ""(\d+)[-\s]?Cores?"")))"),12.0)</f>
        <v>12</v>
      </c>
      <c r="J128" s="3">
        <f t="shared" si="1"/>
        <v>1</v>
      </c>
      <c r="K128" s="1">
        <f t="shared" si="2"/>
        <v>0</v>
      </c>
      <c r="L128" s="4">
        <f t="shared" si="3"/>
        <v>591.8</v>
      </c>
      <c r="M128" s="5" t="s">
        <v>41</v>
      </c>
      <c r="N128" s="1" t="s">
        <v>59</v>
      </c>
    </row>
    <row r="129" hidden="1">
      <c r="A129" s="1">
        <v>7014042.0</v>
      </c>
      <c r="B129" s="1" t="s">
        <v>102</v>
      </c>
      <c r="C129" s="1">
        <v>7306616.0</v>
      </c>
      <c r="D129" s="1" t="s">
        <v>22</v>
      </c>
      <c r="E129" s="1" t="s">
        <v>23</v>
      </c>
      <c r="F129" s="1" t="s">
        <v>89</v>
      </c>
      <c r="G129" s="1">
        <v>3.6278498E7</v>
      </c>
      <c r="H129" s="1">
        <v>6220.434</v>
      </c>
      <c r="I129" s="3">
        <f>IFERROR(__xludf.DUMMYFUNCTION("IFERROR(VALUE(REGEXEXTRACT(F129, ""(\d+)[-\s]?Cores?"")))"),12.0)</f>
        <v>12</v>
      </c>
      <c r="J129" s="3">
        <f t="shared" si="1"/>
        <v>1</v>
      </c>
      <c r="K129" s="1">
        <f t="shared" si="2"/>
        <v>0</v>
      </c>
      <c r="L129" s="4">
        <f t="shared" si="3"/>
        <v>591.8</v>
      </c>
      <c r="M129" s="5" t="s">
        <v>41</v>
      </c>
      <c r="N129" s="1" t="s">
        <v>59</v>
      </c>
    </row>
    <row r="130" hidden="1">
      <c r="A130" s="1">
        <v>7014042.0</v>
      </c>
      <c r="B130" s="1" t="s">
        <v>102</v>
      </c>
      <c r="C130" s="1">
        <v>7306617.0</v>
      </c>
      <c r="D130" s="1" t="s">
        <v>22</v>
      </c>
      <c r="E130" s="1" t="s">
        <v>23</v>
      </c>
      <c r="F130" s="1" t="s">
        <v>89</v>
      </c>
      <c r="G130" s="1">
        <v>3.6278525E7</v>
      </c>
      <c r="H130" s="1">
        <v>6220.434</v>
      </c>
      <c r="I130" s="3">
        <f>IFERROR(__xludf.DUMMYFUNCTION("IFERROR(VALUE(REGEXEXTRACT(F130, ""(\d+)[-\s]?Cores?"")))"),12.0)</f>
        <v>12</v>
      </c>
      <c r="J130" s="3">
        <f t="shared" si="1"/>
        <v>1</v>
      </c>
      <c r="K130" s="1">
        <f t="shared" si="2"/>
        <v>0</v>
      </c>
      <c r="L130" s="4">
        <f t="shared" si="3"/>
        <v>591.8</v>
      </c>
      <c r="M130" s="5" t="s">
        <v>41</v>
      </c>
      <c r="N130" s="1" t="s">
        <v>59</v>
      </c>
    </row>
    <row r="131" hidden="1">
      <c r="A131" s="1">
        <v>7014042.0</v>
      </c>
      <c r="B131" s="1" t="s">
        <v>102</v>
      </c>
      <c r="C131" s="1">
        <v>7306617.0</v>
      </c>
      <c r="D131" s="1" t="s">
        <v>22</v>
      </c>
      <c r="E131" s="1" t="s">
        <v>23</v>
      </c>
      <c r="F131" s="1" t="s">
        <v>89</v>
      </c>
      <c r="G131" s="1">
        <v>3.6278526E7</v>
      </c>
      <c r="H131" s="1">
        <v>6220.434</v>
      </c>
      <c r="I131" s="3">
        <f>IFERROR(__xludf.DUMMYFUNCTION("IFERROR(VALUE(REGEXEXTRACT(F131, ""(\d+)[-\s]?Cores?"")))"),12.0)</f>
        <v>12</v>
      </c>
      <c r="J131" s="3">
        <f t="shared" si="1"/>
        <v>1</v>
      </c>
      <c r="K131" s="1">
        <f t="shared" si="2"/>
        <v>0</v>
      </c>
      <c r="L131" s="4">
        <f t="shared" si="3"/>
        <v>591.8</v>
      </c>
      <c r="M131" s="5" t="s">
        <v>41</v>
      </c>
      <c r="N131" s="1" t="s">
        <v>59</v>
      </c>
    </row>
    <row r="132" hidden="1">
      <c r="A132" s="1">
        <v>7008227.0</v>
      </c>
      <c r="B132" s="1" t="s">
        <v>103</v>
      </c>
      <c r="C132" s="1">
        <v>7337220.0</v>
      </c>
      <c r="D132" s="1" t="s">
        <v>22</v>
      </c>
      <c r="E132" s="1" t="s">
        <v>23</v>
      </c>
      <c r="F132" s="1" t="s">
        <v>89</v>
      </c>
      <c r="G132" s="1">
        <v>3.6777794E7</v>
      </c>
      <c r="H132" s="1">
        <v>3344.66</v>
      </c>
      <c r="I132" s="3">
        <f>IFERROR(__xludf.DUMMYFUNCTION("IFERROR(VALUE(REGEXEXTRACT(F132, ""(\d+)[-\s]?Cores?"")))"),12.0)</f>
        <v>12</v>
      </c>
      <c r="J132" s="3">
        <f t="shared" si="1"/>
        <v>1</v>
      </c>
      <c r="K132" s="1">
        <f t="shared" si="2"/>
        <v>0</v>
      </c>
      <c r="L132" s="4">
        <f t="shared" si="3"/>
        <v>591.8</v>
      </c>
      <c r="M132" s="5" t="s">
        <v>41</v>
      </c>
      <c r="N132" s="1" t="s">
        <v>59</v>
      </c>
    </row>
    <row r="133" hidden="1">
      <c r="A133" s="1">
        <v>7008227.0</v>
      </c>
      <c r="B133" s="1" t="s">
        <v>103</v>
      </c>
      <c r="C133" s="1">
        <v>7337220.0</v>
      </c>
      <c r="D133" s="1" t="s">
        <v>22</v>
      </c>
      <c r="E133" s="1" t="s">
        <v>23</v>
      </c>
      <c r="F133" s="1" t="s">
        <v>89</v>
      </c>
      <c r="G133" s="1">
        <v>3.6777795E7</v>
      </c>
      <c r="H133" s="1">
        <v>3344.66</v>
      </c>
      <c r="I133" s="3">
        <f>IFERROR(__xludf.DUMMYFUNCTION("IFERROR(VALUE(REGEXEXTRACT(F133, ""(\d+)[-\s]?Cores?"")))"),12.0)</f>
        <v>12</v>
      </c>
      <c r="J133" s="3">
        <f t="shared" si="1"/>
        <v>1</v>
      </c>
      <c r="K133" s="1">
        <f t="shared" si="2"/>
        <v>0</v>
      </c>
      <c r="L133" s="4">
        <f t="shared" si="3"/>
        <v>591.8</v>
      </c>
      <c r="M133" s="5" t="s">
        <v>41</v>
      </c>
      <c r="N133" s="1" t="s">
        <v>59</v>
      </c>
    </row>
    <row r="134" hidden="1">
      <c r="A134" s="1">
        <v>7008621.0</v>
      </c>
      <c r="B134" s="1" t="s">
        <v>46</v>
      </c>
      <c r="C134" s="1">
        <v>7337457.0</v>
      </c>
      <c r="D134" s="1" t="s">
        <v>22</v>
      </c>
      <c r="E134" s="1" t="s">
        <v>23</v>
      </c>
      <c r="F134" s="1" t="s">
        <v>89</v>
      </c>
      <c r="G134" s="1">
        <v>3.6782408E7</v>
      </c>
      <c r="H134" s="1">
        <v>2724.46</v>
      </c>
      <c r="I134" s="3">
        <f>IFERROR(__xludf.DUMMYFUNCTION("IFERROR(VALUE(REGEXEXTRACT(F134, ""(\d+)[-\s]?Cores?"")))"),12.0)</f>
        <v>12</v>
      </c>
      <c r="J134" s="3">
        <f t="shared" si="1"/>
        <v>1</v>
      </c>
      <c r="K134" s="1">
        <f t="shared" si="2"/>
        <v>0</v>
      </c>
      <c r="L134" s="4">
        <f t="shared" si="3"/>
        <v>591.8</v>
      </c>
      <c r="M134" s="5" t="s">
        <v>41</v>
      </c>
      <c r="N134" s="1" t="s">
        <v>48</v>
      </c>
      <c r="O134" s="1" t="s">
        <v>49</v>
      </c>
      <c r="P134" s="1" t="s">
        <v>50</v>
      </c>
      <c r="R134" s="1" t="s">
        <v>51</v>
      </c>
    </row>
    <row r="135" hidden="1">
      <c r="A135" s="1">
        <v>7008621.0</v>
      </c>
      <c r="B135" s="1" t="s">
        <v>46</v>
      </c>
      <c r="C135" s="1">
        <v>7337457.0</v>
      </c>
      <c r="D135" s="1" t="s">
        <v>22</v>
      </c>
      <c r="E135" s="1" t="s">
        <v>23</v>
      </c>
      <c r="F135" s="1" t="s">
        <v>89</v>
      </c>
      <c r="G135" s="1">
        <v>3.6782409E7</v>
      </c>
      <c r="H135" s="1">
        <v>2724.46</v>
      </c>
      <c r="I135" s="3">
        <f>IFERROR(__xludf.DUMMYFUNCTION("IFERROR(VALUE(REGEXEXTRACT(F135, ""(\d+)[-\s]?Cores?"")))"),12.0)</f>
        <v>12</v>
      </c>
      <c r="J135" s="3">
        <f t="shared" si="1"/>
        <v>1</v>
      </c>
      <c r="K135" s="1">
        <f t="shared" si="2"/>
        <v>0</v>
      </c>
      <c r="L135" s="4">
        <f t="shared" si="3"/>
        <v>591.8</v>
      </c>
      <c r="M135" s="5" t="s">
        <v>41</v>
      </c>
      <c r="N135" s="1" t="s">
        <v>48</v>
      </c>
      <c r="O135" s="1" t="s">
        <v>49</v>
      </c>
      <c r="P135" s="1" t="s">
        <v>50</v>
      </c>
      <c r="R135" s="1" t="s">
        <v>51</v>
      </c>
    </row>
    <row r="136" hidden="1">
      <c r="A136" s="1">
        <v>7008621.0</v>
      </c>
      <c r="B136" s="1" t="s">
        <v>46</v>
      </c>
      <c r="C136" s="1">
        <v>7337463.0</v>
      </c>
      <c r="D136" s="1" t="s">
        <v>22</v>
      </c>
      <c r="E136" s="1" t="s">
        <v>23</v>
      </c>
      <c r="F136" s="1" t="s">
        <v>89</v>
      </c>
      <c r="G136" s="1">
        <v>3.6782455E7</v>
      </c>
      <c r="H136" s="1">
        <v>2724.46</v>
      </c>
      <c r="I136" s="3">
        <f>IFERROR(__xludf.DUMMYFUNCTION("IFERROR(VALUE(REGEXEXTRACT(F136, ""(\d+)[-\s]?Cores?"")))"),12.0)</f>
        <v>12</v>
      </c>
      <c r="J136" s="3">
        <f t="shared" si="1"/>
        <v>1</v>
      </c>
      <c r="K136" s="1">
        <f t="shared" si="2"/>
        <v>0</v>
      </c>
      <c r="L136" s="4">
        <f t="shared" si="3"/>
        <v>591.8</v>
      </c>
      <c r="M136" s="5" t="s">
        <v>41</v>
      </c>
      <c r="N136" s="1" t="s">
        <v>48</v>
      </c>
      <c r="O136" s="1" t="s">
        <v>49</v>
      </c>
      <c r="P136" s="1" t="s">
        <v>50</v>
      </c>
      <c r="R136" s="1" t="s">
        <v>51</v>
      </c>
    </row>
    <row r="137" hidden="1">
      <c r="A137" s="1">
        <v>7008621.0</v>
      </c>
      <c r="B137" s="1" t="s">
        <v>46</v>
      </c>
      <c r="C137" s="1">
        <v>7337463.0</v>
      </c>
      <c r="D137" s="1" t="s">
        <v>22</v>
      </c>
      <c r="E137" s="1" t="s">
        <v>23</v>
      </c>
      <c r="F137" s="1" t="s">
        <v>89</v>
      </c>
      <c r="G137" s="1">
        <v>3.6782456E7</v>
      </c>
      <c r="H137" s="1">
        <v>2724.46</v>
      </c>
      <c r="I137" s="3">
        <f>IFERROR(__xludf.DUMMYFUNCTION("IFERROR(VALUE(REGEXEXTRACT(F137, ""(\d+)[-\s]?Cores?"")))"),12.0)</f>
        <v>12</v>
      </c>
      <c r="J137" s="3">
        <f t="shared" si="1"/>
        <v>1</v>
      </c>
      <c r="K137" s="1">
        <f t="shared" si="2"/>
        <v>0</v>
      </c>
      <c r="L137" s="4">
        <f t="shared" si="3"/>
        <v>591.8</v>
      </c>
      <c r="M137" s="5" t="s">
        <v>41</v>
      </c>
      <c r="N137" s="1" t="s">
        <v>48</v>
      </c>
      <c r="O137" s="1" t="s">
        <v>49</v>
      </c>
      <c r="P137" s="1" t="s">
        <v>50</v>
      </c>
      <c r="R137" s="1" t="s">
        <v>51</v>
      </c>
    </row>
    <row r="138" hidden="1">
      <c r="A138" s="1">
        <v>7008621.0</v>
      </c>
      <c r="B138" s="1" t="s">
        <v>46</v>
      </c>
      <c r="C138" s="1">
        <v>7337466.0</v>
      </c>
      <c r="D138" s="1" t="s">
        <v>22</v>
      </c>
      <c r="E138" s="1" t="s">
        <v>23</v>
      </c>
      <c r="F138" s="1" t="s">
        <v>89</v>
      </c>
      <c r="G138" s="1">
        <v>3.6782489E7</v>
      </c>
      <c r="H138" s="1">
        <v>2724.46</v>
      </c>
      <c r="I138" s="3">
        <f>IFERROR(__xludf.DUMMYFUNCTION("IFERROR(VALUE(REGEXEXTRACT(F138, ""(\d+)[-\s]?Cores?"")))"),12.0)</f>
        <v>12</v>
      </c>
      <c r="J138" s="3">
        <f t="shared" si="1"/>
        <v>1</v>
      </c>
      <c r="K138" s="1">
        <f t="shared" si="2"/>
        <v>0</v>
      </c>
      <c r="L138" s="4">
        <f t="shared" si="3"/>
        <v>591.8</v>
      </c>
      <c r="M138" s="5" t="s">
        <v>41</v>
      </c>
      <c r="N138" s="1" t="s">
        <v>48</v>
      </c>
      <c r="O138" s="1" t="s">
        <v>49</v>
      </c>
      <c r="P138" s="1" t="s">
        <v>50</v>
      </c>
      <c r="R138" s="1" t="s">
        <v>51</v>
      </c>
    </row>
    <row r="139" hidden="1">
      <c r="A139" s="1">
        <v>7008621.0</v>
      </c>
      <c r="B139" s="1" t="s">
        <v>46</v>
      </c>
      <c r="C139" s="1">
        <v>7337466.0</v>
      </c>
      <c r="D139" s="1" t="s">
        <v>22</v>
      </c>
      <c r="E139" s="1" t="s">
        <v>23</v>
      </c>
      <c r="F139" s="1" t="s">
        <v>89</v>
      </c>
      <c r="G139" s="1">
        <v>3.678249E7</v>
      </c>
      <c r="H139" s="1">
        <v>2724.46</v>
      </c>
      <c r="I139" s="3">
        <f>IFERROR(__xludf.DUMMYFUNCTION("IFERROR(VALUE(REGEXEXTRACT(F139, ""(\d+)[-\s]?Cores?"")))"),12.0)</f>
        <v>12</v>
      </c>
      <c r="J139" s="3">
        <f t="shared" si="1"/>
        <v>1</v>
      </c>
      <c r="K139" s="1">
        <f t="shared" si="2"/>
        <v>0</v>
      </c>
      <c r="L139" s="4">
        <f t="shared" si="3"/>
        <v>591.8</v>
      </c>
      <c r="M139" s="5" t="s">
        <v>41</v>
      </c>
      <c r="N139" s="1" t="s">
        <v>48</v>
      </c>
      <c r="O139" s="1" t="s">
        <v>49</v>
      </c>
      <c r="P139" s="1" t="s">
        <v>50</v>
      </c>
      <c r="R139" s="1" t="s">
        <v>51</v>
      </c>
    </row>
    <row r="140" hidden="1">
      <c r="A140" s="1">
        <v>7008621.0</v>
      </c>
      <c r="B140" s="1" t="s">
        <v>46</v>
      </c>
      <c r="C140" s="1">
        <v>7337468.0</v>
      </c>
      <c r="D140" s="1" t="s">
        <v>22</v>
      </c>
      <c r="E140" s="1" t="s">
        <v>23</v>
      </c>
      <c r="F140" s="1" t="s">
        <v>89</v>
      </c>
      <c r="G140" s="1">
        <v>3.6782514E7</v>
      </c>
      <c r="H140" s="1">
        <v>2724.46</v>
      </c>
      <c r="I140" s="3">
        <f>IFERROR(__xludf.DUMMYFUNCTION("IFERROR(VALUE(REGEXEXTRACT(F140, ""(\d+)[-\s]?Cores?"")))"),12.0)</f>
        <v>12</v>
      </c>
      <c r="J140" s="3">
        <f t="shared" si="1"/>
        <v>1</v>
      </c>
      <c r="K140" s="1">
        <f t="shared" si="2"/>
        <v>0</v>
      </c>
      <c r="L140" s="4">
        <f t="shared" si="3"/>
        <v>591.8</v>
      </c>
      <c r="M140" s="5" t="s">
        <v>41</v>
      </c>
      <c r="N140" s="1" t="s">
        <v>48</v>
      </c>
      <c r="O140" s="1" t="s">
        <v>49</v>
      </c>
      <c r="P140" s="1" t="s">
        <v>50</v>
      </c>
      <c r="R140" s="1" t="s">
        <v>51</v>
      </c>
    </row>
    <row r="141" hidden="1">
      <c r="A141" s="1">
        <v>7008621.0</v>
      </c>
      <c r="B141" s="1" t="s">
        <v>46</v>
      </c>
      <c r="C141" s="1">
        <v>7337468.0</v>
      </c>
      <c r="D141" s="1" t="s">
        <v>22</v>
      </c>
      <c r="E141" s="1" t="s">
        <v>23</v>
      </c>
      <c r="F141" s="1" t="s">
        <v>89</v>
      </c>
      <c r="G141" s="1">
        <v>3.6782515E7</v>
      </c>
      <c r="H141" s="1">
        <v>2724.46</v>
      </c>
      <c r="I141" s="3">
        <f>IFERROR(__xludf.DUMMYFUNCTION("IFERROR(VALUE(REGEXEXTRACT(F141, ""(\d+)[-\s]?Cores?"")))"),12.0)</f>
        <v>12</v>
      </c>
      <c r="J141" s="3">
        <f t="shared" si="1"/>
        <v>1</v>
      </c>
      <c r="K141" s="1">
        <f t="shared" si="2"/>
        <v>0</v>
      </c>
      <c r="L141" s="4">
        <f t="shared" si="3"/>
        <v>591.8</v>
      </c>
      <c r="M141" s="5" t="s">
        <v>41</v>
      </c>
      <c r="N141" s="1" t="s">
        <v>48</v>
      </c>
      <c r="O141" s="1" t="s">
        <v>49</v>
      </c>
      <c r="P141" s="1" t="s">
        <v>50</v>
      </c>
      <c r="R141" s="1" t="s">
        <v>51</v>
      </c>
    </row>
    <row r="142" hidden="1">
      <c r="A142" s="1">
        <v>7014042.0</v>
      </c>
      <c r="B142" s="1" t="s">
        <v>102</v>
      </c>
      <c r="C142" s="1">
        <v>7364930.0</v>
      </c>
      <c r="D142" s="1" t="s">
        <v>22</v>
      </c>
      <c r="E142" s="1" t="s">
        <v>23</v>
      </c>
      <c r="F142" s="1" t="s">
        <v>89</v>
      </c>
      <c r="G142" s="1">
        <v>3.6843077E7</v>
      </c>
      <c r="H142" s="1">
        <v>5459.7717</v>
      </c>
      <c r="I142" s="3">
        <f>IFERROR(__xludf.DUMMYFUNCTION("IFERROR(VALUE(REGEXEXTRACT(F142, ""(\d+)[-\s]?Cores?"")))"),12.0)</f>
        <v>12</v>
      </c>
      <c r="J142" s="3">
        <f t="shared" si="1"/>
        <v>1</v>
      </c>
      <c r="K142" s="1">
        <f t="shared" si="2"/>
        <v>0</v>
      </c>
      <c r="L142" s="4">
        <f t="shared" si="3"/>
        <v>591.8</v>
      </c>
      <c r="M142" s="5" t="s">
        <v>41</v>
      </c>
      <c r="N142" s="1" t="s">
        <v>59</v>
      </c>
    </row>
    <row r="143" hidden="1">
      <c r="A143" s="1">
        <v>7014042.0</v>
      </c>
      <c r="B143" s="1" t="s">
        <v>102</v>
      </c>
      <c r="C143" s="1">
        <v>7364930.0</v>
      </c>
      <c r="D143" s="1" t="s">
        <v>22</v>
      </c>
      <c r="E143" s="1" t="s">
        <v>23</v>
      </c>
      <c r="F143" s="1" t="s">
        <v>89</v>
      </c>
      <c r="G143" s="1">
        <v>3.6843078E7</v>
      </c>
      <c r="H143" s="1">
        <v>5459.7717</v>
      </c>
      <c r="I143" s="3">
        <f>IFERROR(__xludf.DUMMYFUNCTION("IFERROR(VALUE(REGEXEXTRACT(F143, ""(\d+)[-\s]?Cores?"")))"),12.0)</f>
        <v>12</v>
      </c>
      <c r="J143" s="3">
        <f t="shared" si="1"/>
        <v>1</v>
      </c>
      <c r="K143" s="1">
        <f t="shared" si="2"/>
        <v>0</v>
      </c>
      <c r="L143" s="4">
        <f t="shared" si="3"/>
        <v>591.8</v>
      </c>
      <c r="M143" s="5" t="s">
        <v>41</v>
      </c>
      <c r="N143" s="1" t="s">
        <v>59</v>
      </c>
    </row>
    <row r="144" hidden="1">
      <c r="A144" s="1">
        <v>7009847.0</v>
      </c>
      <c r="B144" s="1" t="s">
        <v>104</v>
      </c>
      <c r="C144" s="1">
        <v>7429475.0</v>
      </c>
      <c r="D144" s="1" t="s">
        <v>22</v>
      </c>
      <c r="E144" s="1" t="s">
        <v>23</v>
      </c>
      <c r="F144" s="1" t="s">
        <v>89</v>
      </c>
      <c r="G144" s="1">
        <v>3.7500008E7</v>
      </c>
      <c r="H144" s="1">
        <v>3131.0534</v>
      </c>
      <c r="I144" s="3">
        <f>IFERROR(__xludf.DUMMYFUNCTION("IFERROR(VALUE(REGEXEXTRACT(F144, ""(\d+)[-\s]?Cores?"")))"),12.0)</f>
        <v>12</v>
      </c>
      <c r="J144" s="3">
        <f t="shared" si="1"/>
        <v>1</v>
      </c>
      <c r="K144" s="1">
        <f t="shared" si="2"/>
        <v>0</v>
      </c>
      <c r="L144" s="4">
        <f t="shared" si="3"/>
        <v>591.8</v>
      </c>
      <c r="M144" s="5" t="s">
        <v>41</v>
      </c>
      <c r="N144" s="1" t="s">
        <v>105</v>
      </c>
      <c r="R144" s="1" t="s">
        <v>106</v>
      </c>
    </row>
    <row r="145" hidden="1">
      <c r="A145" s="1">
        <v>7009847.0</v>
      </c>
      <c r="B145" s="1" t="s">
        <v>104</v>
      </c>
      <c r="C145" s="1">
        <v>7429475.0</v>
      </c>
      <c r="D145" s="1" t="s">
        <v>22</v>
      </c>
      <c r="E145" s="1" t="s">
        <v>23</v>
      </c>
      <c r="F145" s="1" t="s">
        <v>89</v>
      </c>
      <c r="G145" s="1">
        <v>3.7500009E7</v>
      </c>
      <c r="H145" s="1">
        <v>3131.0534</v>
      </c>
      <c r="I145" s="3">
        <f>IFERROR(__xludf.DUMMYFUNCTION("IFERROR(VALUE(REGEXEXTRACT(F145, ""(\d+)[-\s]?Cores?"")))"),12.0)</f>
        <v>12</v>
      </c>
      <c r="J145" s="3">
        <f t="shared" si="1"/>
        <v>1</v>
      </c>
      <c r="K145" s="1">
        <f t="shared" si="2"/>
        <v>0</v>
      </c>
      <c r="L145" s="4">
        <f t="shared" si="3"/>
        <v>591.8</v>
      </c>
      <c r="M145" s="5" t="s">
        <v>41</v>
      </c>
      <c r="N145" s="1" t="s">
        <v>105</v>
      </c>
    </row>
    <row r="146" hidden="1">
      <c r="A146" s="1">
        <v>6131312.0</v>
      </c>
      <c r="B146" s="1" t="s">
        <v>107</v>
      </c>
      <c r="C146" s="1">
        <v>7432251.0</v>
      </c>
      <c r="D146" s="1" t="s">
        <v>22</v>
      </c>
      <c r="E146" s="1" t="s">
        <v>23</v>
      </c>
      <c r="F146" s="1" t="s">
        <v>89</v>
      </c>
      <c r="G146" s="1">
        <v>3.7529593E7</v>
      </c>
      <c r="H146" s="1">
        <v>2362.8844</v>
      </c>
      <c r="I146" s="3">
        <f>IFERROR(__xludf.DUMMYFUNCTION("IFERROR(VALUE(REGEXEXTRACT(F146, ""(\d+)[-\s]?Cores?"")))"),12.0)</f>
        <v>12</v>
      </c>
      <c r="J146" s="3">
        <f t="shared" si="1"/>
        <v>1</v>
      </c>
      <c r="K146" s="1">
        <f t="shared" si="2"/>
        <v>0</v>
      </c>
      <c r="L146" s="4">
        <f t="shared" si="3"/>
        <v>591.8</v>
      </c>
      <c r="M146" s="5" t="s">
        <v>41</v>
      </c>
      <c r="N146" s="1" t="s">
        <v>59</v>
      </c>
    </row>
    <row r="147" hidden="1">
      <c r="A147" s="1">
        <v>6131312.0</v>
      </c>
      <c r="B147" s="1" t="s">
        <v>107</v>
      </c>
      <c r="C147" s="1">
        <v>7432251.0</v>
      </c>
      <c r="D147" s="1" t="s">
        <v>22</v>
      </c>
      <c r="E147" s="1" t="s">
        <v>23</v>
      </c>
      <c r="F147" s="1" t="s">
        <v>89</v>
      </c>
      <c r="G147" s="1">
        <v>3.7529594E7</v>
      </c>
      <c r="H147" s="1">
        <v>2362.8844</v>
      </c>
      <c r="I147" s="3">
        <f>IFERROR(__xludf.DUMMYFUNCTION("IFERROR(VALUE(REGEXEXTRACT(F147, ""(\d+)[-\s]?Cores?"")))"),12.0)</f>
        <v>12</v>
      </c>
      <c r="J147" s="3">
        <f t="shared" si="1"/>
        <v>1</v>
      </c>
      <c r="K147" s="1">
        <f t="shared" si="2"/>
        <v>0</v>
      </c>
      <c r="L147" s="4">
        <f t="shared" si="3"/>
        <v>591.8</v>
      </c>
      <c r="M147" s="5" t="s">
        <v>41</v>
      </c>
      <c r="N147" s="1" t="s">
        <v>59</v>
      </c>
    </row>
    <row r="148" hidden="1">
      <c r="A148" s="1">
        <v>6131312.0</v>
      </c>
      <c r="B148" s="1" t="s">
        <v>107</v>
      </c>
      <c r="C148" s="1">
        <v>7432252.0</v>
      </c>
      <c r="D148" s="1" t="s">
        <v>22</v>
      </c>
      <c r="E148" s="1" t="s">
        <v>23</v>
      </c>
      <c r="F148" s="1" t="s">
        <v>89</v>
      </c>
      <c r="G148" s="1">
        <v>3.7529621E7</v>
      </c>
      <c r="H148" s="1">
        <v>2362.8844</v>
      </c>
      <c r="I148" s="3">
        <f>IFERROR(__xludf.DUMMYFUNCTION("IFERROR(VALUE(REGEXEXTRACT(F148, ""(\d+)[-\s]?Cores?"")))"),12.0)</f>
        <v>12</v>
      </c>
      <c r="J148" s="3">
        <f t="shared" si="1"/>
        <v>1</v>
      </c>
      <c r="K148" s="1">
        <f t="shared" si="2"/>
        <v>0</v>
      </c>
      <c r="L148" s="4">
        <f t="shared" si="3"/>
        <v>591.8</v>
      </c>
      <c r="M148" s="5" t="s">
        <v>41</v>
      </c>
      <c r="N148" s="1" t="s">
        <v>59</v>
      </c>
    </row>
    <row r="149" hidden="1">
      <c r="A149" s="1">
        <v>6131312.0</v>
      </c>
      <c r="B149" s="1" t="s">
        <v>107</v>
      </c>
      <c r="C149" s="1">
        <v>7432252.0</v>
      </c>
      <c r="D149" s="1" t="s">
        <v>22</v>
      </c>
      <c r="E149" s="1" t="s">
        <v>23</v>
      </c>
      <c r="F149" s="1" t="s">
        <v>89</v>
      </c>
      <c r="G149" s="1">
        <v>3.7529622E7</v>
      </c>
      <c r="H149" s="1">
        <v>2362.8844</v>
      </c>
      <c r="I149" s="3">
        <f>IFERROR(__xludf.DUMMYFUNCTION("IFERROR(VALUE(REGEXEXTRACT(F149, ""(\d+)[-\s]?Cores?"")))"),12.0)</f>
        <v>12</v>
      </c>
      <c r="J149" s="3">
        <f t="shared" si="1"/>
        <v>1</v>
      </c>
      <c r="K149" s="1">
        <f t="shared" si="2"/>
        <v>0</v>
      </c>
      <c r="L149" s="4">
        <f t="shared" si="3"/>
        <v>591.8</v>
      </c>
      <c r="M149" s="5" t="s">
        <v>41</v>
      </c>
      <c r="N149" s="1" t="s">
        <v>59</v>
      </c>
    </row>
    <row r="150" hidden="1">
      <c r="A150" s="1">
        <v>7008227.0</v>
      </c>
      <c r="B150" s="1" t="s">
        <v>103</v>
      </c>
      <c r="C150" s="1">
        <v>7433682.0</v>
      </c>
      <c r="D150" s="1" t="s">
        <v>22</v>
      </c>
      <c r="E150" s="1" t="s">
        <v>23</v>
      </c>
      <c r="F150" s="1" t="s">
        <v>89</v>
      </c>
      <c r="G150" s="1">
        <v>3.7544899E7</v>
      </c>
      <c r="H150" s="1">
        <v>3344.66</v>
      </c>
      <c r="I150" s="3">
        <f>IFERROR(__xludf.DUMMYFUNCTION("IFERROR(VALUE(REGEXEXTRACT(F150, ""(\d+)[-\s]?Cores?"")))"),12.0)</f>
        <v>12</v>
      </c>
      <c r="J150" s="3">
        <f t="shared" si="1"/>
        <v>1</v>
      </c>
      <c r="K150" s="1">
        <f t="shared" si="2"/>
        <v>0</v>
      </c>
      <c r="L150" s="4">
        <f t="shared" si="3"/>
        <v>591.8</v>
      </c>
      <c r="M150" s="5" t="s">
        <v>41</v>
      </c>
      <c r="N150" s="1" t="s">
        <v>59</v>
      </c>
    </row>
    <row r="151" hidden="1">
      <c r="A151" s="1">
        <v>7008227.0</v>
      </c>
      <c r="B151" s="1" t="s">
        <v>103</v>
      </c>
      <c r="C151" s="1">
        <v>7433682.0</v>
      </c>
      <c r="D151" s="1" t="s">
        <v>22</v>
      </c>
      <c r="E151" s="1" t="s">
        <v>23</v>
      </c>
      <c r="F151" s="1" t="s">
        <v>89</v>
      </c>
      <c r="G151" s="1">
        <v>3.75449E7</v>
      </c>
      <c r="H151" s="1">
        <v>3344.66</v>
      </c>
      <c r="I151" s="3">
        <f>IFERROR(__xludf.DUMMYFUNCTION("IFERROR(VALUE(REGEXEXTRACT(F151, ""(\d+)[-\s]?Cores?"")))"),12.0)</f>
        <v>12</v>
      </c>
      <c r="J151" s="3">
        <f t="shared" si="1"/>
        <v>1</v>
      </c>
      <c r="K151" s="1">
        <f t="shared" si="2"/>
        <v>0</v>
      </c>
      <c r="L151" s="4">
        <f t="shared" si="3"/>
        <v>591.8</v>
      </c>
      <c r="M151" s="5" t="s">
        <v>41</v>
      </c>
      <c r="N151" s="1" t="s">
        <v>59</v>
      </c>
    </row>
    <row r="152" hidden="1">
      <c r="A152" s="1">
        <v>7014933.0</v>
      </c>
      <c r="B152" s="1" t="s">
        <v>108</v>
      </c>
      <c r="C152" s="1">
        <v>7444141.0</v>
      </c>
      <c r="D152" s="1" t="s">
        <v>22</v>
      </c>
      <c r="E152" s="1" t="s">
        <v>23</v>
      </c>
      <c r="F152" s="1" t="s">
        <v>89</v>
      </c>
      <c r="G152" s="1">
        <v>3.765634E7</v>
      </c>
      <c r="H152" s="1">
        <v>2152.7083</v>
      </c>
      <c r="I152" s="3">
        <f>IFERROR(__xludf.DUMMYFUNCTION("IFERROR(VALUE(REGEXEXTRACT(F152, ""(\d+)[-\s]?Cores?"")))"),12.0)</f>
        <v>12</v>
      </c>
      <c r="J152" s="3">
        <f t="shared" si="1"/>
        <v>1</v>
      </c>
      <c r="K152" s="1">
        <f t="shared" si="2"/>
        <v>0</v>
      </c>
      <c r="L152" s="4">
        <f t="shared" si="3"/>
        <v>591.8</v>
      </c>
      <c r="M152" s="5" t="s">
        <v>41</v>
      </c>
      <c r="N152" s="1" t="s">
        <v>30</v>
      </c>
      <c r="Q152" s="1" t="s">
        <v>31</v>
      </c>
      <c r="R152" s="1" t="s">
        <v>109</v>
      </c>
    </row>
    <row r="153" hidden="1">
      <c r="A153" s="1">
        <v>7013249.0</v>
      </c>
      <c r="B153" s="1" t="s">
        <v>98</v>
      </c>
      <c r="C153" s="1">
        <v>7449036.0</v>
      </c>
      <c r="D153" s="1" t="s">
        <v>53</v>
      </c>
      <c r="E153" s="1" t="s">
        <v>23</v>
      </c>
      <c r="F153" s="1" t="s">
        <v>89</v>
      </c>
      <c r="G153" s="1">
        <v>3.7729074E7</v>
      </c>
      <c r="H153" s="1">
        <v>2701.8672</v>
      </c>
      <c r="I153" s="3">
        <f>IFERROR(__xludf.DUMMYFUNCTION("IFERROR(VALUE(REGEXEXTRACT(F153, ""(\d+)[-\s]?Cores?"")))"),12.0)</f>
        <v>12</v>
      </c>
      <c r="J153" s="3">
        <f t="shared" si="1"/>
        <v>1</v>
      </c>
      <c r="K153" s="1">
        <f t="shared" si="2"/>
        <v>0</v>
      </c>
      <c r="L153" s="4">
        <f t="shared" si="3"/>
        <v>591.8</v>
      </c>
      <c r="M153" s="5" t="s">
        <v>41</v>
      </c>
      <c r="N153" s="1" t="s">
        <v>99</v>
      </c>
      <c r="O153" s="1" t="s">
        <v>100</v>
      </c>
      <c r="P153" s="1" t="s">
        <v>43</v>
      </c>
      <c r="Q153" s="1" t="s">
        <v>101</v>
      </c>
    </row>
    <row r="154" hidden="1">
      <c r="A154" s="1">
        <v>7013249.0</v>
      </c>
      <c r="B154" s="1" t="s">
        <v>98</v>
      </c>
      <c r="C154" s="1">
        <v>7449036.0</v>
      </c>
      <c r="D154" s="1" t="s">
        <v>53</v>
      </c>
      <c r="E154" s="1" t="s">
        <v>23</v>
      </c>
      <c r="F154" s="1" t="s">
        <v>89</v>
      </c>
      <c r="G154" s="1">
        <v>3.7729075E7</v>
      </c>
      <c r="H154" s="1">
        <v>2701.8672</v>
      </c>
      <c r="I154" s="3">
        <f>IFERROR(__xludf.DUMMYFUNCTION("IFERROR(VALUE(REGEXEXTRACT(F154, ""(\d+)[-\s]?Cores?"")))"),12.0)</f>
        <v>12</v>
      </c>
      <c r="J154" s="3">
        <f t="shared" si="1"/>
        <v>1</v>
      </c>
      <c r="K154" s="1">
        <f t="shared" si="2"/>
        <v>0</v>
      </c>
      <c r="L154" s="4">
        <f t="shared" si="3"/>
        <v>591.8</v>
      </c>
      <c r="M154" s="5" t="s">
        <v>41</v>
      </c>
      <c r="N154" s="1" t="s">
        <v>99</v>
      </c>
      <c r="O154" s="1" t="s">
        <v>100</v>
      </c>
      <c r="P154" s="1" t="s">
        <v>43</v>
      </c>
      <c r="Q154" s="1" t="s">
        <v>101</v>
      </c>
    </row>
    <row r="155" hidden="1">
      <c r="A155" s="1">
        <v>5573207.0</v>
      </c>
      <c r="B155" s="1" t="s">
        <v>110</v>
      </c>
      <c r="C155" s="1">
        <v>7538506.0</v>
      </c>
      <c r="D155" s="1" t="s">
        <v>22</v>
      </c>
      <c r="E155" s="1" t="s">
        <v>23</v>
      </c>
      <c r="F155" s="1" t="s">
        <v>89</v>
      </c>
      <c r="G155" s="1">
        <v>3.9072824E7</v>
      </c>
      <c r="H155" s="1">
        <v>2214.4526</v>
      </c>
      <c r="I155" s="3">
        <f>IFERROR(__xludf.DUMMYFUNCTION("IFERROR(VALUE(REGEXEXTRACT(F155, ""(\d+)[-\s]?Cores?"")))"),12.0)</f>
        <v>12</v>
      </c>
      <c r="J155" s="3">
        <f t="shared" si="1"/>
        <v>1</v>
      </c>
      <c r="K155" s="1">
        <f t="shared" si="2"/>
        <v>0</v>
      </c>
      <c r="L155" s="4">
        <f t="shared" si="3"/>
        <v>591.8</v>
      </c>
      <c r="M155" s="5" t="s">
        <v>41</v>
      </c>
      <c r="N155" s="1" t="s">
        <v>59</v>
      </c>
    </row>
    <row r="156" hidden="1">
      <c r="A156" s="1">
        <v>5573207.0</v>
      </c>
      <c r="B156" s="1" t="s">
        <v>110</v>
      </c>
      <c r="C156" s="1">
        <v>7538507.0</v>
      </c>
      <c r="D156" s="1" t="s">
        <v>22</v>
      </c>
      <c r="E156" s="1" t="s">
        <v>23</v>
      </c>
      <c r="F156" s="1" t="s">
        <v>89</v>
      </c>
      <c r="G156" s="1">
        <v>3.9072848E7</v>
      </c>
      <c r="H156" s="1">
        <v>2214.4526</v>
      </c>
      <c r="I156" s="3">
        <f>IFERROR(__xludf.DUMMYFUNCTION("IFERROR(VALUE(REGEXEXTRACT(F156, ""(\d+)[-\s]?Cores?"")))"),12.0)</f>
        <v>12</v>
      </c>
      <c r="J156" s="3">
        <f t="shared" si="1"/>
        <v>1</v>
      </c>
      <c r="K156" s="1">
        <f t="shared" si="2"/>
        <v>0</v>
      </c>
      <c r="L156" s="4">
        <f t="shared" si="3"/>
        <v>591.8</v>
      </c>
      <c r="M156" s="5" t="s">
        <v>41</v>
      </c>
      <c r="N156" s="1" t="s">
        <v>59</v>
      </c>
    </row>
    <row r="157" hidden="1">
      <c r="A157" s="1">
        <v>5636208.0</v>
      </c>
      <c r="B157" s="1" t="s">
        <v>111</v>
      </c>
      <c r="C157" s="1">
        <v>7539557.0</v>
      </c>
      <c r="D157" s="1" t="s">
        <v>22</v>
      </c>
      <c r="E157" s="1" t="s">
        <v>23</v>
      </c>
      <c r="F157" s="1" t="s">
        <v>112</v>
      </c>
      <c r="G157" s="1">
        <v>3.9088568E7</v>
      </c>
      <c r="H157" s="1">
        <v>1829.2251</v>
      </c>
      <c r="I157" s="3">
        <f>IFERROR(__xludf.DUMMYFUNCTION("IFERROR(VALUE(REGEXEXTRACT(F157, ""(\d+)[-\s]?Cores?"")))"),12.0)</f>
        <v>12</v>
      </c>
      <c r="J157" s="3">
        <f t="shared" si="1"/>
        <v>1</v>
      </c>
      <c r="K157" s="1">
        <f t="shared" si="2"/>
        <v>0</v>
      </c>
      <c r="L157" s="4">
        <f t="shared" si="3"/>
        <v>591.8</v>
      </c>
      <c r="M157" s="5" t="s">
        <v>41</v>
      </c>
      <c r="N157" s="1" t="s">
        <v>25</v>
      </c>
    </row>
    <row r="158" hidden="1">
      <c r="A158" s="1">
        <v>7014317.0</v>
      </c>
      <c r="B158" s="1" t="s">
        <v>113</v>
      </c>
      <c r="C158" s="1">
        <v>7543962.0</v>
      </c>
      <c r="D158" s="1" t="s">
        <v>22</v>
      </c>
      <c r="E158" s="1" t="s">
        <v>23</v>
      </c>
      <c r="F158" s="1" t="s">
        <v>89</v>
      </c>
      <c r="G158" s="1">
        <v>3.9154635E7</v>
      </c>
      <c r="H158" s="1">
        <v>2229.8584</v>
      </c>
      <c r="I158" s="3">
        <f>IFERROR(__xludf.DUMMYFUNCTION("IFERROR(VALUE(REGEXEXTRACT(F158, ""(\d+)[-\s]?Cores?"")))"),12.0)</f>
        <v>12</v>
      </c>
      <c r="J158" s="3">
        <f t="shared" si="1"/>
        <v>1</v>
      </c>
      <c r="K158" s="1">
        <f t="shared" si="2"/>
        <v>0</v>
      </c>
      <c r="L158" s="4">
        <f t="shared" si="3"/>
        <v>591.8</v>
      </c>
      <c r="M158" s="5" t="s">
        <v>41</v>
      </c>
      <c r="N158" s="1" t="s">
        <v>99</v>
      </c>
    </row>
    <row r="159" hidden="1">
      <c r="A159" s="1">
        <v>7014317.0</v>
      </c>
      <c r="B159" s="1" t="s">
        <v>113</v>
      </c>
      <c r="C159" s="1">
        <v>7543962.0</v>
      </c>
      <c r="D159" s="1" t="s">
        <v>22</v>
      </c>
      <c r="E159" s="1" t="s">
        <v>23</v>
      </c>
      <c r="F159" s="1" t="s">
        <v>89</v>
      </c>
      <c r="G159" s="1">
        <v>3.9154636E7</v>
      </c>
      <c r="H159" s="1">
        <v>2229.8584</v>
      </c>
      <c r="I159" s="3">
        <f>IFERROR(__xludf.DUMMYFUNCTION("IFERROR(VALUE(REGEXEXTRACT(F159, ""(\d+)[-\s]?Cores?"")))"),12.0)</f>
        <v>12</v>
      </c>
      <c r="J159" s="3">
        <f t="shared" si="1"/>
        <v>1</v>
      </c>
      <c r="K159" s="1">
        <f t="shared" si="2"/>
        <v>0</v>
      </c>
      <c r="L159" s="4">
        <f t="shared" si="3"/>
        <v>591.8</v>
      </c>
      <c r="M159" s="5" t="s">
        <v>41</v>
      </c>
      <c r="N159" s="1" t="s">
        <v>99</v>
      </c>
    </row>
    <row r="160" hidden="1">
      <c r="A160" s="1">
        <v>7008227.0</v>
      </c>
      <c r="B160" s="1" t="s">
        <v>103</v>
      </c>
      <c r="C160" s="1">
        <v>7560002.0</v>
      </c>
      <c r="D160" s="1" t="s">
        <v>22</v>
      </c>
      <c r="E160" s="1" t="s">
        <v>23</v>
      </c>
      <c r="F160" s="1" t="s">
        <v>89</v>
      </c>
      <c r="G160" s="1">
        <v>3.9395181E7</v>
      </c>
      <c r="H160" s="1">
        <v>3284.15</v>
      </c>
      <c r="I160" s="3">
        <f>IFERROR(__xludf.DUMMYFUNCTION("IFERROR(VALUE(REGEXEXTRACT(F160, ""(\d+)[-\s]?Cores?"")))"),12.0)</f>
        <v>12</v>
      </c>
      <c r="J160" s="3">
        <f t="shared" si="1"/>
        <v>1</v>
      </c>
      <c r="K160" s="1">
        <f t="shared" si="2"/>
        <v>0</v>
      </c>
      <c r="L160" s="4">
        <f t="shared" si="3"/>
        <v>591.8</v>
      </c>
      <c r="M160" s="5" t="s">
        <v>41</v>
      </c>
      <c r="N160" s="1" t="s">
        <v>59</v>
      </c>
    </row>
    <row r="161" hidden="1">
      <c r="A161" s="1">
        <v>7008227.0</v>
      </c>
      <c r="B161" s="1" t="s">
        <v>103</v>
      </c>
      <c r="C161" s="1">
        <v>7560002.0</v>
      </c>
      <c r="D161" s="1" t="s">
        <v>22</v>
      </c>
      <c r="E161" s="1" t="s">
        <v>23</v>
      </c>
      <c r="F161" s="1" t="s">
        <v>89</v>
      </c>
      <c r="G161" s="1">
        <v>3.9395182E7</v>
      </c>
      <c r="H161" s="1">
        <v>3284.15</v>
      </c>
      <c r="I161" s="3">
        <f>IFERROR(__xludf.DUMMYFUNCTION("IFERROR(VALUE(REGEXEXTRACT(F161, ""(\d+)[-\s]?Cores?"")))"),12.0)</f>
        <v>12</v>
      </c>
      <c r="J161" s="3">
        <f t="shared" si="1"/>
        <v>1</v>
      </c>
      <c r="K161" s="1">
        <f t="shared" si="2"/>
        <v>0</v>
      </c>
      <c r="L161" s="4">
        <f t="shared" si="3"/>
        <v>591.8</v>
      </c>
      <c r="M161" s="5" t="s">
        <v>41</v>
      </c>
      <c r="N161" s="1" t="s">
        <v>59</v>
      </c>
    </row>
    <row r="162" hidden="1">
      <c r="A162" s="1">
        <v>7010154.0</v>
      </c>
      <c r="B162" s="1" t="s">
        <v>114</v>
      </c>
      <c r="C162" s="1">
        <v>7667907.0</v>
      </c>
      <c r="D162" s="1" t="s">
        <v>22</v>
      </c>
      <c r="E162" s="1" t="s">
        <v>23</v>
      </c>
      <c r="F162" s="1" t="s">
        <v>89</v>
      </c>
      <c r="G162" s="1">
        <v>4.1086311E7</v>
      </c>
      <c r="H162" s="1">
        <v>4315.7943</v>
      </c>
      <c r="I162" s="3">
        <f>IFERROR(__xludf.DUMMYFUNCTION("IFERROR(VALUE(REGEXEXTRACT(F162, ""(\d+)[-\s]?Cores?"")))"),12.0)</f>
        <v>12</v>
      </c>
      <c r="J162" s="3">
        <f t="shared" si="1"/>
        <v>1</v>
      </c>
      <c r="K162" s="1">
        <f t="shared" si="2"/>
        <v>0</v>
      </c>
      <c r="L162" s="4">
        <f t="shared" si="3"/>
        <v>591.8</v>
      </c>
      <c r="M162" s="5" t="s">
        <v>41</v>
      </c>
      <c r="N162" s="1" t="s">
        <v>30</v>
      </c>
      <c r="Q162" s="1" t="s">
        <v>31</v>
      </c>
      <c r="R162" s="1" t="s">
        <v>115</v>
      </c>
    </row>
    <row r="163" hidden="1">
      <c r="A163" s="1">
        <v>7010154.0</v>
      </c>
      <c r="B163" s="1" t="s">
        <v>114</v>
      </c>
      <c r="C163" s="1">
        <v>7667907.0</v>
      </c>
      <c r="D163" s="1" t="s">
        <v>22</v>
      </c>
      <c r="E163" s="1" t="s">
        <v>23</v>
      </c>
      <c r="F163" s="1" t="s">
        <v>89</v>
      </c>
      <c r="G163" s="1">
        <v>4.1086312E7</v>
      </c>
      <c r="H163" s="1">
        <v>4315.7943</v>
      </c>
      <c r="I163" s="3">
        <f>IFERROR(__xludf.DUMMYFUNCTION("IFERROR(VALUE(REGEXEXTRACT(F163, ""(\d+)[-\s]?Cores?"")))"),12.0)</f>
        <v>12</v>
      </c>
      <c r="J163" s="3">
        <f t="shared" si="1"/>
        <v>1</v>
      </c>
      <c r="K163" s="1">
        <f t="shared" si="2"/>
        <v>0</v>
      </c>
      <c r="L163" s="4">
        <f t="shared" si="3"/>
        <v>591.8</v>
      </c>
      <c r="M163" s="5" t="s">
        <v>41</v>
      </c>
      <c r="N163" s="1" t="s">
        <v>30</v>
      </c>
      <c r="Q163" s="1" t="s">
        <v>31</v>
      </c>
      <c r="R163" s="1" t="s">
        <v>115</v>
      </c>
    </row>
    <row r="164" hidden="1">
      <c r="A164" s="1">
        <v>7012728.0</v>
      </c>
      <c r="B164" s="1" t="s">
        <v>116</v>
      </c>
      <c r="C164" s="1">
        <v>7777030.0</v>
      </c>
      <c r="D164" s="1" t="s">
        <v>22</v>
      </c>
      <c r="E164" s="1" t="s">
        <v>23</v>
      </c>
      <c r="F164" s="1" t="s">
        <v>89</v>
      </c>
      <c r="G164" s="1">
        <v>4.2594259E7</v>
      </c>
      <c r="H164" s="1">
        <v>3321.23</v>
      </c>
      <c r="I164" s="3">
        <f>IFERROR(__xludf.DUMMYFUNCTION("IFERROR(VALUE(REGEXEXTRACT(F164, ""(\d+)[-\s]?Cores?"")))"),12.0)</f>
        <v>12</v>
      </c>
      <c r="J164" s="3">
        <f t="shared" si="1"/>
        <v>1</v>
      </c>
      <c r="K164" s="1">
        <f t="shared" si="2"/>
        <v>0</v>
      </c>
      <c r="L164" s="4">
        <f t="shared" si="3"/>
        <v>591.8</v>
      </c>
      <c r="M164" s="5" t="s">
        <v>41</v>
      </c>
      <c r="N164" s="1" t="s">
        <v>59</v>
      </c>
      <c r="R164" s="1" t="s">
        <v>117</v>
      </c>
    </row>
    <row r="165" hidden="1">
      <c r="A165" s="1">
        <v>7012728.0</v>
      </c>
      <c r="B165" s="1" t="s">
        <v>116</v>
      </c>
      <c r="C165" s="1">
        <v>7777030.0</v>
      </c>
      <c r="D165" s="1" t="s">
        <v>22</v>
      </c>
      <c r="E165" s="1" t="s">
        <v>23</v>
      </c>
      <c r="F165" s="1" t="s">
        <v>89</v>
      </c>
      <c r="G165" s="1">
        <v>4.259426E7</v>
      </c>
      <c r="H165" s="1">
        <v>3321.23</v>
      </c>
      <c r="I165" s="3">
        <f>IFERROR(__xludf.DUMMYFUNCTION("IFERROR(VALUE(REGEXEXTRACT(F165, ""(\d+)[-\s]?Cores?"")))"),12.0)</f>
        <v>12</v>
      </c>
      <c r="J165" s="3">
        <f t="shared" si="1"/>
        <v>1</v>
      </c>
      <c r="K165" s="1">
        <f t="shared" si="2"/>
        <v>0</v>
      </c>
      <c r="L165" s="4">
        <f t="shared" si="3"/>
        <v>591.8</v>
      </c>
      <c r="M165" s="5" t="s">
        <v>41</v>
      </c>
      <c r="N165" s="1" t="s">
        <v>59</v>
      </c>
      <c r="R165" s="1" t="s">
        <v>117</v>
      </c>
    </row>
    <row r="166" hidden="1">
      <c r="A166" s="1">
        <v>7012728.0</v>
      </c>
      <c r="B166" s="1" t="s">
        <v>116</v>
      </c>
      <c r="C166" s="1">
        <v>7777031.0</v>
      </c>
      <c r="D166" s="1" t="s">
        <v>22</v>
      </c>
      <c r="E166" s="1" t="s">
        <v>23</v>
      </c>
      <c r="F166" s="1" t="s">
        <v>89</v>
      </c>
      <c r="G166" s="1">
        <v>4.259428E7</v>
      </c>
      <c r="H166" s="1">
        <v>3321.23</v>
      </c>
      <c r="I166" s="3">
        <f>IFERROR(__xludf.DUMMYFUNCTION("IFERROR(VALUE(REGEXEXTRACT(F166, ""(\d+)[-\s]?Cores?"")))"),12.0)</f>
        <v>12</v>
      </c>
      <c r="J166" s="3">
        <f t="shared" si="1"/>
        <v>1</v>
      </c>
      <c r="K166" s="1">
        <f t="shared" si="2"/>
        <v>0</v>
      </c>
      <c r="L166" s="4">
        <f t="shared" si="3"/>
        <v>591.8</v>
      </c>
      <c r="M166" s="5" t="s">
        <v>41</v>
      </c>
      <c r="N166" s="1" t="s">
        <v>59</v>
      </c>
      <c r="R166" s="1" t="s">
        <v>117</v>
      </c>
    </row>
    <row r="167" hidden="1">
      <c r="A167" s="1">
        <v>7012728.0</v>
      </c>
      <c r="B167" s="1" t="s">
        <v>116</v>
      </c>
      <c r="C167" s="1">
        <v>7777031.0</v>
      </c>
      <c r="D167" s="1" t="s">
        <v>22</v>
      </c>
      <c r="E167" s="1" t="s">
        <v>23</v>
      </c>
      <c r="F167" s="1" t="s">
        <v>89</v>
      </c>
      <c r="G167" s="1">
        <v>4.2594281E7</v>
      </c>
      <c r="H167" s="1">
        <v>3321.23</v>
      </c>
      <c r="I167" s="3">
        <f>IFERROR(__xludf.DUMMYFUNCTION("IFERROR(VALUE(REGEXEXTRACT(F167, ""(\d+)[-\s]?Cores?"")))"),12.0)</f>
        <v>12</v>
      </c>
      <c r="J167" s="3">
        <f t="shared" si="1"/>
        <v>1</v>
      </c>
      <c r="K167" s="1">
        <f t="shared" si="2"/>
        <v>0</v>
      </c>
      <c r="L167" s="4">
        <f t="shared" si="3"/>
        <v>591.8</v>
      </c>
      <c r="M167" s="5" t="s">
        <v>41</v>
      </c>
      <c r="N167" s="1" t="s">
        <v>59</v>
      </c>
      <c r="R167" s="1" t="s">
        <v>117</v>
      </c>
    </row>
    <row r="168" hidden="1">
      <c r="A168" s="1">
        <v>7012728.0</v>
      </c>
      <c r="B168" s="1" t="s">
        <v>116</v>
      </c>
      <c r="C168" s="1">
        <v>7777037.0</v>
      </c>
      <c r="D168" s="1" t="s">
        <v>22</v>
      </c>
      <c r="E168" s="1" t="s">
        <v>23</v>
      </c>
      <c r="F168" s="1" t="s">
        <v>89</v>
      </c>
      <c r="G168" s="1">
        <v>4.2594321E7</v>
      </c>
      <c r="H168" s="1">
        <v>3321.23</v>
      </c>
      <c r="I168" s="3">
        <f>IFERROR(__xludf.DUMMYFUNCTION("IFERROR(VALUE(REGEXEXTRACT(F168, ""(\d+)[-\s]?Cores?"")))"),12.0)</f>
        <v>12</v>
      </c>
      <c r="J168" s="3">
        <f t="shared" si="1"/>
        <v>1</v>
      </c>
      <c r="K168" s="1">
        <f t="shared" si="2"/>
        <v>0</v>
      </c>
      <c r="L168" s="4">
        <f t="shared" si="3"/>
        <v>591.8</v>
      </c>
      <c r="M168" s="5" t="s">
        <v>41</v>
      </c>
      <c r="N168" s="1" t="s">
        <v>59</v>
      </c>
      <c r="R168" s="1" t="s">
        <v>117</v>
      </c>
    </row>
    <row r="169" hidden="1">
      <c r="A169" s="1">
        <v>7012728.0</v>
      </c>
      <c r="B169" s="1" t="s">
        <v>116</v>
      </c>
      <c r="C169" s="1">
        <v>7777037.0</v>
      </c>
      <c r="D169" s="1" t="s">
        <v>22</v>
      </c>
      <c r="E169" s="1" t="s">
        <v>23</v>
      </c>
      <c r="F169" s="1" t="s">
        <v>89</v>
      </c>
      <c r="G169" s="1">
        <v>4.2594322E7</v>
      </c>
      <c r="H169" s="1">
        <v>3321.23</v>
      </c>
      <c r="I169" s="3">
        <f>IFERROR(__xludf.DUMMYFUNCTION("IFERROR(VALUE(REGEXEXTRACT(F169, ""(\d+)[-\s]?Cores?"")))"),12.0)</f>
        <v>12</v>
      </c>
      <c r="J169" s="3">
        <f t="shared" si="1"/>
        <v>1</v>
      </c>
      <c r="K169" s="1">
        <f t="shared" si="2"/>
        <v>0</v>
      </c>
      <c r="L169" s="4">
        <f t="shared" si="3"/>
        <v>591.8</v>
      </c>
      <c r="M169" s="5" t="s">
        <v>41</v>
      </c>
      <c r="N169" s="1" t="s">
        <v>59</v>
      </c>
      <c r="R169" s="1" t="s">
        <v>117</v>
      </c>
    </row>
    <row r="170" hidden="1">
      <c r="A170" s="1">
        <v>7012728.0</v>
      </c>
      <c r="B170" s="1" t="s">
        <v>116</v>
      </c>
      <c r="C170" s="1">
        <v>7777051.0</v>
      </c>
      <c r="D170" s="1" t="s">
        <v>22</v>
      </c>
      <c r="E170" s="1" t="s">
        <v>23</v>
      </c>
      <c r="F170" s="1" t="s">
        <v>89</v>
      </c>
      <c r="G170" s="1">
        <v>4.2594388E7</v>
      </c>
      <c r="H170" s="1">
        <v>3321.23</v>
      </c>
      <c r="I170" s="3">
        <f>IFERROR(__xludf.DUMMYFUNCTION("IFERROR(VALUE(REGEXEXTRACT(F170, ""(\d+)[-\s]?Cores?"")))"),12.0)</f>
        <v>12</v>
      </c>
      <c r="J170" s="3">
        <f t="shared" si="1"/>
        <v>1</v>
      </c>
      <c r="K170" s="1">
        <f t="shared" si="2"/>
        <v>0</v>
      </c>
      <c r="L170" s="4">
        <f t="shared" si="3"/>
        <v>591.8</v>
      </c>
      <c r="M170" s="5" t="s">
        <v>41</v>
      </c>
      <c r="N170" s="1" t="s">
        <v>59</v>
      </c>
      <c r="R170" s="1" t="s">
        <v>117</v>
      </c>
    </row>
    <row r="171" hidden="1">
      <c r="A171" s="1">
        <v>7012728.0</v>
      </c>
      <c r="B171" s="1" t="s">
        <v>116</v>
      </c>
      <c r="C171" s="1">
        <v>7777051.0</v>
      </c>
      <c r="D171" s="1" t="s">
        <v>22</v>
      </c>
      <c r="E171" s="1" t="s">
        <v>23</v>
      </c>
      <c r="F171" s="1" t="s">
        <v>89</v>
      </c>
      <c r="G171" s="1">
        <v>4.2594389E7</v>
      </c>
      <c r="H171" s="1">
        <v>3321.23</v>
      </c>
      <c r="I171" s="3">
        <f>IFERROR(__xludf.DUMMYFUNCTION("IFERROR(VALUE(REGEXEXTRACT(F171, ""(\d+)[-\s]?Cores?"")))"),12.0)</f>
        <v>12</v>
      </c>
      <c r="J171" s="3">
        <f t="shared" si="1"/>
        <v>1</v>
      </c>
      <c r="K171" s="1">
        <f t="shared" si="2"/>
        <v>0</v>
      </c>
      <c r="L171" s="4">
        <f t="shared" si="3"/>
        <v>591.8</v>
      </c>
      <c r="M171" s="5" t="s">
        <v>41</v>
      </c>
      <c r="N171" s="1" t="s">
        <v>59</v>
      </c>
      <c r="R171" s="1" t="s">
        <v>117</v>
      </c>
    </row>
    <row r="172" hidden="1">
      <c r="A172" s="1">
        <v>7009655.0</v>
      </c>
      <c r="B172" s="1" t="s">
        <v>118</v>
      </c>
      <c r="C172" s="1">
        <v>7848428.0</v>
      </c>
      <c r="D172" s="1" t="s">
        <v>22</v>
      </c>
      <c r="E172" s="1" t="s">
        <v>23</v>
      </c>
      <c r="F172" s="1" t="s">
        <v>89</v>
      </c>
      <c r="G172" s="1">
        <v>4.3172268E7</v>
      </c>
      <c r="H172" s="1">
        <v>3575.0294</v>
      </c>
      <c r="I172" s="3">
        <f>IFERROR(__xludf.DUMMYFUNCTION("IFERROR(VALUE(REGEXEXTRACT(F172, ""(\d+)[-\s]?Cores?"")))"),12.0)</f>
        <v>12</v>
      </c>
      <c r="J172" s="3">
        <f t="shared" si="1"/>
        <v>1</v>
      </c>
      <c r="K172" s="1">
        <f t="shared" si="2"/>
        <v>0</v>
      </c>
      <c r="L172" s="4">
        <f t="shared" si="3"/>
        <v>591.8</v>
      </c>
      <c r="M172" s="5" t="s">
        <v>41</v>
      </c>
      <c r="N172" s="1" t="s">
        <v>48</v>
      </c>
      <c r="O172" s="1" t="s">
        <v>119</v>
      </c>
      <c r="P172" s="1" t="s">
        <v>50</v>
      </c>
      <c r="R172" s="1" t="s">
        <v>120</v>
      </c>
    </row>
    <row r="173" hidden="1">
      <c r="A173" s="1">
        <v>7009655.0</v>
      </c>
      <c r="B173" s="1" t="s">
        <v>118</v>
      </c>
      <c r="C173" s="1">
        <v>7848428.0</v>
      </c>
      <c r="D173" s="1" t="s">
        <v>22</v>
      </c>
      <c r="E173" s="1" t="s">
        <v>23</v>
      </c>
      <c r="F173" s="1" t="s">
        <v>89</v>
      </c>
      <c r="G173" s="1">
        <v>4.3172269E7</v>
      </c>
      <c r="H173" s="1">
        <v>3575.0294</v>
      </c>
      <c r="I173" s="3">
        <f>IFERROR(__xludf.DUMMYFUNCTION("IFERROR(VALUE(REGEXEXTRACT(F173, ""(\d+)[-\s]?Cores?"")))"),12.0)</f>
        <v>12</v>
      </c>
      <c r="J173" s="3">
        <f t="shared" si="1"/>
        <v>1</v>
      </c>
      <c r="K173" s="1">
        <f t="shared" si="2"/>
        <v>0</v>
      </c>
      <c r="L173" s="4">
        <f t="shared" si="3"/>
        <v>591.8</v>
      </c>
      <c r="M173" s="5" t="s">
        <v>41</v>
      </c>
      <c r="N173" s="1" t="s">
        <v>48</v>
      </c>
      <c r="O173" s="1" t="s">
        <v>119</v>
      </c>
      <c r="P173" s="1" t="s">
        <v>50</v>
      </c>
      <c r="R173" s="1" t="s">
        <v>120</v>
      </c>
    </row>
    <row r="174" hidden="1">
      <c r="A174" s="1">
        <v>7009655.0</v>
      </c>
      <c r="B174" s="1" t="s">
        <v>118</v>
      </c>
      <c r="C174" s="1">
        <v>7848429.0</v>
      </c>
      <c r="D174" s="1" t="s">
        <v>22</v>
      </c>
      <c r="E174" s="1" t="s">
        <v>23</v>
      </c>
      <c r="F174" s="1" t="s">
        <v>89</v>
      </c>
      <c r="G174" s="1">
        <v>4.3172292E7</v>
      </c>
      <c r="H174" s="1">
        <v>3575.0294</v>
      </c>
      <c r="I174" s="3">
        <f>IFERROR(__xludf.DUMMYFUNCTION("IFERROR(VALUE(REGEXEXTRACT(F174, ""(\d+)[-\s]?Cores?"")))"),12.0)</f>
        <v>12</v>
      </c>
      <c r="J174" s="3">
        <f t="shared" si="1"/>
        <v>1</v>
      </c>
      <c r="K174" s="1">
        <f t="shared" si="2"/>
        <v>0</v>
      </c>
      <c r="L174" s="4">
        <f t="shared" si="3"/>
        <v>591.8</v>
      </c>
      <c r="M174" s="5" t="s">
        <v>41</v>
      </c>
      <c r="N174" s="1" t="s">
        <v>48</v>
      </c>
      <c r="O174" s="1" t="s">
        <v>119</v>
      </c>
      <c r="P174" s="1" t="s">
        <v>50</v>
      </c>
      <c r="R174" s="1" t="s">
        <v>120</v>
      </c>
    </row>
    <row r="175" hidden="1">
      <c r="A175" s="1">
        <v>7009655.0</v>
      </c>
      <c r="B175" s="1" t="s">
        <v>118</v>
      </c>
      <c r="C175" s="1">
        <v>7848429.0</v>
      </c>
      <c r="D175" s="1" t="s">
        <v>22</v>
      </c>
      <c r="E175" s="1" t="s">
        <v>23</v>
      </c>
      <c r="F175" s="1" t="s">
        <v>89</v>
      </c>
      <c r="G175" s="1">
        <v>4.3172293E7</v>
      </c>
      <c r="H175" s="1">
        <v>3575.0294</v>
      </c>
      <c r="I175" s="3">
        <f>IFERROR(__xludf.DUMMYFUNCTION("IFERROR(VALUE(REGEXEXTRACT(F175, ""(\d+)[-\s]?Cores?"")))"),12.0)</f>
        <v>12</v>
      </c>
      <c r="J175" s="3">
        <f t="shared" si="1"/>
        <v>1</v>
      </c>
      <c r="K175" s="1">
        <f t="shared" si="2"/>
        <v>0</v>
      </c>
      <c r="L175" s="4">
        <f t="shared" si="3"/>
        <v>591.8</v>
      </c>
      <c r="M175" s="5" t="s">
        <v>41</v>
      </c>
      <c r="N175" s="1" t="s">
        <v>48</v>
      </c>
      <c r="O175" s="1" t="s">
        <v>119</v>
      </c>
      <c r="P175" s="1" t="s">
        <v>50</v>
      </c>
      <c r="R175" s="1" t="s">
        <v>120</v>
      </c>
    </row>
    <row r="176" hidden="1">
      <c r="A176" s="1">
        <v>5759510.0</v>
      </c>
      <c r="B176" s="1" t="s">
        <v>121</v>
      </c>
      <c r="C176" s="1">
        <v>7848529.0</v>
      </c>
      <c r="D176" s="1" t="s">
        <v>22</v>
      </c>
      <c r="E176" s="1" t="s">
        <v>56</v>
      </c>
      <c r="F176" s="1" t="s">
        <v>89</v>
      </c>
      <c r="G176" s="1">
        <v>4.3178779E7</v>
      </c>
      <c r="H176" s="1">
        <v>3366.5642</v>
      </c>
      <c r="I176" s="3">
        <f>IFERROR(__xludf.DUMMYFUNCTION("IFERROR(VALUE(REGEXEXTRACT(F176, ""(\d+)[-\s]?Cores?"")))"),12.0)</f>
        <v>12</v>
      </c>
      <c r="J176" s="3">
        <f t="shared" si="1"/>
        <v>1</v>
      </c>
      <c r="K176" s="1">
        <f t="shared" si="2"/>
        <v>0</v>
      </c>
      <c r="L176" s="4">
        <f t="shared" si="3"/>
        <v>591.8</v>
      </c>
      <c r="M176" s="5" t="s">
        <v>41</v>
      </c>
      <c r="N176" s="1" t="s">
        <v>59</v>
      </c>
    </row>
    <row r="177" hidden="1">
      <c r="A177" s="1">
        <v>5759510.0</v>
      </c>
      <c r="B177" s="1" t="s">
        <v>121</v>
      </c>
      <c r="C177" s="1">
        <v>7848529.0</v>
      </c>
      <c r="D177" s="1" t="s">
        <v>22</v>
      </c>
      <c r="E177" s="1" t="s">
        <v>56</v>
      </c>
      <c r="F177" s="1" t="s">
        <v>89</v>
      </c>
      <c r="G177" s="1">
        <v>4.317878E7</v>
      </c>
      <c r="H177" s="1">
        <v>3366.5642</v>
      </c>
      <c r="I177" s="3">
        <f>IFERROR(__xludf.DUMMYFUNCTION("IFERROR(VALUE(REGEXEXTRACT(F177, ""(\d+)[-\s]?Cores?"")))"),12.0)</f>
        <v>12</v>
      </c>
      <c r="J177" s="3">
        <f t="shared" si="1"/>
        <v>1</v>
      </c>
      <c r="K177" s="1">
        <f t="shared" si="2"/>
        <v>0</v>
      </c>
      <c r="L177" s="4">
        <f t="shared" si="3"/>
        <v>591.8</v>
      </c>
      <c r="M177" s="5" t="s">
        <v>41</v>
      </c>
      <c r="N177" s="1" t="s">
        <v>59</v>
      </c>
    </row>
    <row r="178" hidden="1">
      <c r="A178" s="1">
        <v>5759510.0</v>
      </c>
      <c r="B178" s="1" t="s">
        <v>121</v>
      </c>
      <c r="C178" s="1">
        <v>7848533.0</v>
      </c>
      <c r="D178" s="1" t="s">
        <v>22</v>
      </c>
      <c r="E178" s="1" t="s">
        <v>56</v>
      </c>
      <c r="F178" s="1" t="s">
        <v>89</v>
      </c>
      <c r="G178" s="1">
        <v>4.3178805E7</v>
      </c>
      <c r="H178" s="1">
        <v>3366.5642</v>
      </c>
      <c r="I178" s="3">
        <f>IFERROR(__xludf.DUMMYFUNCTION("IFERROR(VALUE(REGEXEXTRACT(F178, ""(\d+)[-\s]?Cores?"")))"),12.0)</f>
        <v>12</v>
      </c>
      <c r="J178" s="3">
        <f t="shared" si="1"/>
        <v>1</v>
      </c>
      <c r="K178" s="1">
        <f t="shared" si="2"/>
        <v>0</v>
      </c>
      <c r="L178" s="4">
        <f t="shared" si="3"/>
        <v>591.8</v>
      </c>
      <c r="M178" s="5" t="s">
        <v>41</v>
      </c>
      <c r="N178" s="1" t="s">
        <v>59</v>
      </c>
    </row>
    <row r="179" hidden="1">
      <c r="A179" s="1">
        <v>5759510.0</v>
      </c>
      <c r="B179" s="1" t="s">
        <v>121</v>
      </c>
      <c r="C179" s="1">
        <v>7848533.0</v>
      </c>
      <c r="D179" s="1" t="s">
        <v>22</v>
      </c>
      <c r="E179" s="1" t="s">
        <v>56</v>
      </c>
      <c r="F179" s="1" t="s">
        <v>89</v>
      </c>
      <c r="G179" s="1">
        <v>4.3178806E7</v>
      </c>
      <c r="H179" s="1">
        <v>3366.5642</v>
      </c>
      <c r="I179" s="3">
        <f>IFERROR(__xludf.DUMMYFUNCTION("IFERROR(VALUE(REGEXEXTRACT(F179, ""(\d+)[-\s]?Cores?"")))"),12.0)</f>
        <v>12</v>
      </c>
      <c r="J179" s="3">
        <f t="shared" si="1"/>
        <v>1</v>
      </c>
      <c r="K179" s="1">
        <f t="shared" si="2"/>
        <v>0</v>
      </c>
      <c r="L179" s="4">
        <f t="shared" si="3"/>
        <v>591.8</v>
      </c>
      <c r="M179" s="5" t="s">
        <v>41</v>
      </c>
      <c r="N179" s="1" t="s">
        <v>59</v>
      </c>
    </row>
    <row r="180" hidden="1">
      <c r="A180" s="1">
        <v>5759510.0</v>
      </c>
      <c r="B180" s="1" t="s">
        <v>121</v>
      </c>
      <c r="C180" s="1">
        <v>7848536.0</v>
      </c>
      <c r="D180" s="1" t="s">
        <v>22</v>
      </c>
      <c r="E180" s="1" t="s">
        <v>56</v>
      </c>
      <c r="F180" s="1" t="s">
        <v>89</v>
      </c>
      <c r="G180" s="1">
        <v>4.3178832E7</v>
      </c>
      <c r="H180" s="1">
        <v>3366.5642</v>
      </c>
      <c r="I180" s="3">
        <f>IFERROR(__xludf.DUMMYFUNCTION("IFERROR(VALUE(REGEXEXTRACT(F180, ""(\d+)[-\s]?Cores?"")))"),12.0)</f>
        <v>12</v>
      </c>
      <c r="J180" s="3">
        <f t="shared" si="1"/>
        <v>1</v>
      </c>
      <c r="K180" s="1">
        <f t="shared" si="2"/>
        <v>0</v>
      </c>
      <c r="L180" s="4">
        <f t="shared" si="3"/>
        <v>591.8</v>
      </c>
      <c r="M180" s="5" t="s">
        <v>41</v>
      </c>
      <c r="N180" s="1" t="s">
        <v>59</v>
      </c>
    </row>
    <row r="181" hidden="1">
      <c r="A181" s="1">
        <v>5759510.0</v>
      </c>
      <c r="B181" s="1" t="s">
        <v>121</v>
      </c>
      <c r="C181" s="1">
        <v>7848536.0</v>
      </c>
      <c r="D181" s="1" t="s">
        <v>22</v>
      </c>
      <c r="E181" s="1" t="s">
        <v>56</v>
      </c>
      <c r="F181" s="1" t="s">
        <v>89</v>
      </c>
      <c r="G181" s="1">
        <v>4.3178833E7</v>
      </c>
      <c r="H181" s="1">
        <v>3366.5642</v>
      </c>
      <c r="I181" s="3">
        <f>IFERROR(__xludf.DUMMYFUNCTION("IFERROR(VALUE(REGEXEXTRACT(F181, ""(\d+)[-\s]?Cores?"")))"),12.0)</f>
        <v>12</v>
      </c>
      <c r="J181" s="3">
        <f t="shared" si="1"/>
        <v>1</v>
      </c>
      <c r="K181" s="1">
        <f t="shared" si="2"/>
        <v>0</v>
      </c>
      <c r="L181" s="4">
        <f t="shared" si="3"/>
        <v>591.8</v>
      </c>
      <c r="M181" s="5" t="s">
        <v>41</v>
      </c>
      <c r="N181" s="1" t="s">
        <v>59</v>
      </c>
    </row>
    <row r="182">
      <c r="A182" s="1">
        <v>7014791.0</v>
      </c>
      <c r="B182" s="1" t="s">
        <v>62</v>
      </c>
      <c r="C182" s="1">
        <v>7256345.0</v>
      </c>
      <c r="D182" s="1" t="s">
        <v>22</v>
      </c>
      <c r="E182" s="1" t="s">
        <v>23</v>
      </c>
      <c r="F182" s="1" t="s">
        <v>122</v>
      </c>
      <c r="G182" s="1">
        <v>3.5288052E7</v>
      </c>
      <c r="H182" s="1">
        <v>1551.2165</v>
      </c>
      <c r="I182" s="3">
        <f>IFERROR(__xludf.DUMMYFUNCTION("IFERROR(VALUE(REGEXEXTRACT(F182, ""(\d+)[-\s]?Cores?"")))"),16.0)</f>
        <v>16</v>
      </c>
      <c r="J182" s="3">
        <f t="shared" si="1"/>
        <v>1</v>
      </c>
      <c r="K182" s="1">
        <f t="shared" si="2"/>
        <v>0</v>
      </c>
      <c r="L182" s="4">
        <f t="shared" si="3"/>
        <v>591.8</v>
      </c>
      <c r="M182" s="5">
        <v>7.0</v>
      </c>
      <c r="N182" s="1" t="s">
        <v>33</v>
      </c>
      <c r="O182" s="1" t="s">
        <v>123</v>
      </c>
      <c r="Q182" s="1" t="s">
        <v>64</v>
      </c>
      <c r="R182" s="1" t="s">
        <v>65</v>
      </c>
    </row>
    <row r="183">
      <c r="A183" s="1">
        <v>7014791.0</v>
      </c>
      <c r="B183" s="1" t="s">
        <v>62</v>
      </c>
      <c r="C183" s="1">
        <v>7256345.0</v>
      </c>
      <c r="D183" s="1" t="s">
        <v>22</v>
      </c>
      <c r="E183" s="1" t="s">
        <v>23</v>
      </c>
      <c r="F183" s="1" t="s">
        <v>122</v>
      </c>
      <c r="G183" s="1">
        <v>3.5288053E7</v>
      </c>
      <c r="H183" s="1">
        <v>1551.2165</v>
      </c>
      <c r="I183" s="3">
        <f>IFERROR(__xludf.DUMMYFUNCTION("IFERROR(VALUE(REGEXEXTRACT(F183, ""(\d+)[-\s]?Cores?"")))"),16.0)</f>
        <v>16</v>
      </c>
      <c r="J183" s="3">
        <f t="shared" si="1"/>
        <v>1</v>
      </c>
      <c r="K183" s="1">
        <f t="shared" si="2"/>
        <v>0</v>
      </c>
      <c r="L183" s="4">
        <f t="shared" si="3"/>
        <v>591.8</v>
      </c>
      <c r="M183" s="5">
        <v>7.0</v>
      </c>
      <c r="N183" s="1" t="s">
        <v>33</v>
      </c>
      <c r="O183" s="1" t="s">
        <v>123</v>
      </c>
      <c r="Q183" s="1" t="s">
        <v>64</v>
      </c>
      <c r="R183" s="1" t="s">
        <v>65</v>
      </c>
    </row>
    <row r="184">
      <c r="A184" s="1">
        <v>7014791.0</v>
      </c>
      <c r="B184" s="1" t="s">
        <v>62</v>
      </c>
      <c r="C184" s="1">
        <v>7256346.0</v>
      </c>
      <c r="D184" s="1" t="s">
        <v>22</v>
      </c>
      <c r="E184" s="1" t="s">
        <v>23</v>
      </c>
      <c r="F184" s="1" t="s">
        <v>122</v>
      </c>
      <c r="G184" s="1">
        <v>3.5288089E7</v>
      </c>
      <c r="H184" s="1">
        <v>1551.2165</v>
      </c>
      <c r="I184" s="3">
        <f>IFERROR(__xludf.DUMMYFUNCTION("IFERROR(VALUE(REGEXEXTRACT(F184, ""(\d+)[-\s]?Cores?"")))"),16.0)</f>
        <v>16</v>
      </c>
      <c r="J184" s="3">
        <f t="shared" si="1"/>
        <v>1</v>
      </c>
      <c r="K184" s="1">
        <f t="shared" si="2"/>
        <v>0</v>
      </c>
      <c r="L184" s="4">
        <f t="shared" si="3"/>
        <v>591.8</v>
      </c>
      <c r="M184" s="5">
        <v>7.0</v>
      </c>
      <c r="N184" s="1" t="s">
        <v>33</v>
      </c>
      <c r="O184" s="1" t="s">
        <v>123</v>
      </c>
      <c r="Q184" s="1" t="s">
        <v>64</v>
      </c>
      <c r="R184" s="1" t="s">
        <v>65</v>
      </c>
    </row>
    <row r="185">
      <c r="A185" s="1">
        <v>7014791.0</v>
      </c>
      <c r="B185" s="1" t="s">
        <v>62</v>
      </c>
      <c r="C185" s="1">
        <v>7256346.0</v>
      </c>
      <c r="D185" s="1" t="s">
        <v>22</v>
      </c>
      <c r="E185" s="1" t="s">
        <v>23</v>
      </c>
      <c r="F185" s="1" t="s">
        <v>122</v>
      </c>
      <c r="G185" s="1">
        <v>3.528809E7</v>
      </c>
      <c r="H185" s="1">
        <v>1551.2165</v>
      </c>
      <c r="I185" s="3">
        <f>IFERROR(__xludf.DUMMYFUNCTION("IFERROR(VALUE(REGEXEXTRACT(F185, ""(\d+)[-\s]?Cores?"")))"),16.0)</f>
        <v>16</v>
      </c>
      <c r="J185" s="3">
        <f t="shared" si="1"/>
        <v>1</v>
      </c>
      <c r="K185" s="1">
        <f t="shared" si="2"/>
        <v>0</v>
      </c>
      <c r="L185" s="4">
        <f t="shared" si="3"/>
        <v>591.8</v>
      </c>
      <c r="M185" s="5">
        <v>7.0</v>
      </c>
      <c r="N185" s="1" t="s">
        <v>33</v>
      </c>
      <c r="O185" s="1" t="s">
        <v>123</v>
      </c>
      <c r="Q185" s="1" t="s">
        <v>64</v>
      </c>
      <c r="R185" s="1" t="s">
        <v>65</v>
      </c>
    </row>
    <row r="186">
      <c r="A186" s="1">
        <v>7014524.0</v>
      </c>
      <c r="B186" s="1" t="s">
        <v>124</v>
      </c>
      <c r="C186" s="1">
        <v>7076465.0</v>
      </c>
      <c r="D186" s="1" t="s">
        <v>22</v>
      </c>
      <c r="E186" s="1" t="s">
        <v>23</v>
      </c>
      <c r="F186" s="1" t="s">
        <v>125</v>
      </c>
      <c r="G186" s="1">
        <v>3.3998607E7</v>
      </c>
      <c r="H186" s="1">
        <v>4590.99</v>
      </c>
      <c r="I186" s="3">
        <f>IFERROR(__xludf.DUMMYFUNCTION("IFERROR(VALUE(REGEXEXTRACT(F186, ""(\d+)[-\s]?Cores?"")))"),16.0)</f>
        <v>16</v>
      </c>
      <c r="J186" s="3">
        <f t="shared" si="1"/>
        <v>1</v>
      </c>
      <c r="K186" s="1">
        <f t="shared" si="2"/>
        <v>0</v>
      </c>
      <c r="L186" s="4">
        <f t="shared" si="3"/>
        <v>591.8</v>
      </c>
      <c r="M186" s="5" t="s">
        <v>41</v>
      </c>
      <c r="N186" s="1" t="s">
        <v>33</v>
      </c>
      <c r="Q186" s="1" t="s">
        <v>126</v>
      </c>
      <c r="R186" s="1" t="s">
        <v>65</v>
      </c>
    </row>
    <row r="187">
      <c r="A187" s="1">
        <v>7014524.0</v>
      </c>
      <c r="B187" s="1" t="s">
        <v>124</v>
      </c>
      <c r="C187" s="1">
        <v>7076465.0</v>
      </c>
      <c r="D187" s="1" t="s">
        <v>22</v>
      </c>
      <c r="E187" s="1" t="s">
        <v>23</v>
      </c>
      <c r="F187" s="1" t="s">
        <v>125</v>
      </c>
      <c r="G187" s="1">
        <v>3.3998608E7</v>
      </c>
      <c r="H187" s="1">
        <v>4590.99</v>
      </c>
      <c r="I187" s="3">
        <f>IFERROR(__xludf.DUMMYFUNCTION("IFERROR(VALUE(REGEXEXTRACT(F187, ""(\d+)[-\s]?Cores?"")))"),16.0)</f>
        <v>16</v>
      </c>
      <c r="J187" s="3">
        <f t="shared" si="1"/>
        <v>1</v>
      </c>
      <c r="K187" s="1">
        <f t="shared" si="2"/>
        <v>0</v>
      </c>
      <c r="L187" s="4">
        <f t="shared" si="3"/>
        <v>591.8</v>
      </c>
      <c r="M187" s="5" t="s">
        <v>41</v>
      </c>
      <c r="N187" s="1" t="s">
        <v>33</v>
      </c>
      <c r="Q187" s="1" t="s">
        <v>126</v>
      </c>
      <c r="R187" s="1" t="s">
        <v>65</v>
      </c>
    </row>
    <row r="188" hidden="1">
      <c r="A188" s="1">
        <v>7007499.0</v>
      </c>
      <c r="B188" s="1" t="s">
        <v>57</v>
      </c>
      <c r="C188" s="1">
        <v>7290376.0</v>
      </c>
      <c r="D188" s="1" t="s">
        <v>22</v>
      </c>
      <c r="E188" s="1" t="s">
        <v>39</v>
      </c>
      <c r="F188" s="1" t="s">
        <v>127</v>
      </c>
      <c r="G188" s="1">
        <v>3.6125144E7</v>
      </c>
      <c r="H188" s="1">
        <v>3771.8909</v>
      </c>
      <c r="I188" s="3">
        <f>IFERROR(__xludf.DUMMYFUNCTION("IFERROR(VALUE(REGEXEXTRACT(F188, ""(\d+)[-\s]?Cores?"")))"),16.0)</f>
        <v>16</v>
      </c>
      <c r="J188" s="3">
        <f t="shared" si="1"/>
        <v>1</v>
      </c>
      <c r="K188" s="1">
        <f t="shared" si="2"/>
        <v>0</v>
      </c>
      <c r="L188" s="4">
        <f t="shared" si="3"/>
        <v>591.8</v>
      </c>
      <c r="M188" s="5" t="s">
        <v>41</v>
      </c>
      <c r="N188" s="1" t="s">
        <v>30</v>
      </c>
      <c r="R188" s="1" t="s">
        <v>128</v>
      </c>
    </row>
    <row r="189" hidden="1">
      <c r="A189" s="1">
        <v>7007499.0</v>
      </c>
      <c r="B189" s="1" t="s">
        <v>57</v>
      </c>
      <c r="C189" s="1">
        <v>7290376.0</v>
      </c>
      <c r="D189" s="1" t="s">
        <v>22</v>
      </c>
      <c r="E189" s="1" t="s">
        <v>39</v>
      </c>
      <c r="F189" s="1" t="s">
        <v>127</v>
      </c>
      <c r="G189" s="1">
        <v>3.6125145E7</v>
      </c>
      <c r="H189" s="1">
        <v>3771.8909</v>
      </c>
      <c r="I189" s="3">
        <f>IFERROR(__xludf.DUMMYFUNCTION("IFERROR(VALUE(REGEXEXTRACT(F189, ""(\d+)[-\s]?Cores?"")))"),16.0)</f>
        <v>16</v>
      </c>
      <c r="J189" s="3">
        <f t="shared" si="1"/>
        <v>1</v>
      </c>
      <c r="K189" s="1">
        <f t="shared" si="2"/>
        <v>0</v>
      </c>
      <c r="L189" s="4">
        <f t="shared" si="3"/>
        <v>591.8</v>
      </c>
      <c r="M189" s="5" t="s">
        <v>41</v>
      </c>
      <c r="N189" s="1" t="s">
        <v>30</v>
      </c>
      <c r="R189" s="1" t="s">
        <v>128</v>
      </c>
    </row>
    <row r="190" hidden="1">
      <c r="A190" s="1">
        <v>7007499.0</v>
      </c>
      <c r="B190" s="1" t="s">
        <v>57</v>
      </c>
      <c r="C190" s="1">
        <v>7290377.0</v>
      </c>
      <c r="D190" s="1" t="s">
        <v>22</v>
      </c>
      <c r="E190" s="1" t="s">
        <v>39</v>
      </c>
      <c r="F190" s="1" t="s">
        <v>127</v>
      </c>
      <c r="G190" s="1">
        <v>3.6125174E7</v>
      </c>
      <c r="H190" s="1">
        <v>3771.8909</v>
      </c>
      <c r="I190" s="3">
        <f>IFERROR(__xludf.DUMMYFUNCTION("IFERROR(VALUE(REGEXEXTRACT(F190, ""(\d+)[-\s]?Cores?"")))"),16.0)</f>
        <v>16</v>
      </c>
      <c r="J190" s="3">
        <f t="shared" si="1"/>
        <v>1</v>
      </c>
      <c r="K190" s="1">
        <f t="shared" si="2"/>
        <v>0</v>
      </c>
      <c r="L190" s="4">
        <f t="shared" si="3"/>
        <v>591.8</v>
      </c>
      <c r="M190" s="5" t="s">
        <v>41</v>
      </c>
      <c r="N190" s="1" t="s">
        <v>30</v>
      </c>
      <c r="R190" s="1" t="s">
        <v>128</v>
      </c>
    </row>
    <row r="191" hidden="1">
      <c r="A191" s="1">
        <v>7007499.0</v>
      </c>
      <c r="B191" s="1" t="s">
        <v>57</v>
      </c>
      <c r="C191" s="1">
        <v>7290377.0</v>
      </c>
      <c r="D191" s="1" t="s">
        <v>22</v>
      </c>
      <c r="E191" s="1" t="s">
        <v>39</v>
      </c>
      <c r="F191" s="1" t="s">
        <v>127</v>
      </c>
      <c r="G191" s="1">
        <v>3.6125175E7</v>
      </c>
      <c r="H191" s="1">
        <v>3771.8909</v>
      </c>
      <c r="I191" s="3">
        <f>IFERROR(__xludf.DUMMYFUNCTION("IFERROR(VALUE(REGEXEXTRACT(F191, ""(\d+)[-\s]?Cores?"")))"),16.0)</f>
        <v>16</v>
      </c>
      <c r="J191" s="3">
        <f t="shared" si="1"/>
        <v>1</v>
      </c>
      <c r="K191" s="1">
        <f t="shared" si="2"/>
        <v>0</v>
      </c>
      <c r="L191" s="4">
        <f t="shared" si="3"/>
        <v>591.8</v>
      </c>
      <c r="M191" s="5" t="s">
        <v>41</v>
      </c>
      <c r="N191" s="1" t="s">
        <v>30</v>
      </c>
      <c r="R191" s="1" t="s">
        <v>128</v>
      </c>
    </row>
    <row r="192">
      <c r="A192" s="1">
        <v>7014524.0</v>
      </c>
      <c r="B192" s="1" t="s">
        <v>124</v>
      </c>
      <c r="C192" s="1">
        <v>7444474.0</v>
      </c>
      <c r="D192" s="1" t="s">
        <v>22</v>
      </c>
      <c r="E192" s="1" t="s">
        <v>23</v>
      </c>
      <c r="F192" s="1" t="s">
        <v>127</v>
      </c>
      <c r="G192" s="1">
        <v>3.7660739E7</v>
      </c>
      <c r="H192" s="1">
        <v>4251.66</v>
      </c>
      <c r="I192" s="3">
        <f>IFERROR(__xludf.DUMMYFUNCTION("IFERROR(VALUE(REGEXEXTRACT(F192, ""(\d+)[-\s]?Cores?"")))"),16.0)</f>
        <v>16</v>
      </c>
      <c r="J192" s="3">
        <f t="shared" si="1"/>
        <v>1</v>
      </c>
      <c r="K192" s="1">
        <f t="shared" si="2"/>
        <v>0</v>
      </c>
      <c r="L192" s="4">
        <f t="shared" si="3"/>
        <v>591.8</v>
      </c>
      <c r="M192" s="5" t="s">
        <v>41</v>
      </c>
      <c r="N192" s="1" t="s">
        <v>33</v>
      </c>
      <c r="Q192" s="1" t="s">
        <v>126</v>
      </c>
      <c r="R192" s="1" t="s">
        <v>65</v>
      </c>
    </row>
    <row r="193">
      <c r="A193" s="1">
        <v>7014524.0</v>
      </c>
      <c r="B193" s="1" t="s">
        <v>124</v>
      </c>
      <c r="C193" s="1">
        <v>7444474.0</v>
      </c>
      <c r="D193" s="1" t="s">
        <v>22</v>
      </c>
      <c r="E193" s="1" t="s">
        <v>23</v>
      </c>
      <c r="F193" s="1" t="s">
        <v>127</v>
      </c>
      <c r="G193" s="1">
        <v>3.766074E7</v>
      </c>
      <c r="H193" s="1">
        <v>4251.66</v>
      </c>
      <c r="I193" s="3">
        <f>IFERROR(__xludf.DUMMYFUNCTION("IFERROR(VALUE(REGEXEXTRACT(F193, ""(\d+)[-\s]?Cores?"")))"),16.0)</f>
        <v>16</v>
      </c>
      <c r="J193" s="3">
        <f t="shared" si="1"/>
        <v>1</v>
      </c>
      <c r="K193" s="1">
        <f t="shared" si="2"/>
        <v>0</v>
      </c>
      <c r="L193" s="4">
        <f t="shared" si="3"/>
        <v>591.8</v>
      </c>
      <c r="M193" s="5" t="s">
        <v>41</v>
      </c>
      <c r="N193" s="1" t="s">
        <v>33</v>
      </c>
      <c r="Q193" s="1" t="s">
        <v>126</v>
      </c>
      <c r="R193" s="1" t="s">
        <v>65</v>
      </c>
    </row>
    <row r="194">
      <c r="A194" s="1">
        <v>7002328.0</v>
      </c>
      <c r="B194" s="1" t="s">
        <v>129</v>
      </c>
      <c r="C194" s="1">
        <v>7484047.0</v>
      </c>
      <c r="D194" s="1" t="s">
        <v>22</v>
      </c>
      <c r="E194" s="1" t="s">
        <v>23</v>
      </c>
      <c r="F194" s="1" t="s">
        <v>130</v>
      </c>
      <c r="G194" s="1">
        <v>4.3630843E7</v>
      </c>
      <c r="H194" s="1">
        <v>1939.35</v>
      </c>
      <c r="I194" s="3">
        <f>IFERROR(__xludf.DUMMYFUNCTION("IFERROR(VALUE(REGEXEXTRACT(F194, ""(\d+)[-\s]?Cores?"")))"),16.0)</f>
        <v>16</v>
      </c>
      <c r="J194" s="3">
        <f t="shared" si="1"/>
        <v>1</v>
      </c>
      <c r="K194" s="1">
        <f t="shared" si="2"/>
        <v>0</v>
      </c>
      <c r="L194" s="4">
        <f t="shared" si="3"/>
        <v>591.8</v>
      </c>
      <c r="M194" s="5" t="s">
        <v>41</v>
      </c>
      <c r="N194" s="1" t="s">
        <v>33</v>
      </c>
      <c r="Q194" s="1" t="s">
        <v>131</v>
      </c>
      <c r="R194" s="1" t="s">
        <v>65</v>
      </c>
    </row>
    <row r="195">
      <c r="A195" s="1">
        <v>7002328.0</v>
      </c>
      <c r="B195" s="1" t="s">
        <v>129</v>
      </c>
      <c r="C195" s="1">
        <v>7484047.0</v>
      </c>
      <c r="D195" s="1" t="s">
        <v>22</v>
      </c>
      <c r="E195" s="1" t="s">
        <v>23</v>
      </c>
      <c r="F195" s="1" t="s">
        <v>130</v>
      </c>
      <c r="G195" s="1">
        <v>3.8257162E7</v>
      </c>
      <c r="H195" s="1">
        <v>1939.35</v>
      </c>
      <c r="I195" s="3">
        <f>IFERROR(__xludf.DUMMYFUNCTION("IFERROR(VALUE(REGEXEXTRACT(F195, ""(\d+)[-\s]?Cores?"")))"),16.0)</f>
        <v>16</v>
      </c>
      <c r="J195" s="3">
        <f t="shared" si="1"/>
        <v>1</v>
      </c>
      <c r="K195" s="1">
        <f t="shared" si="2"/>
        <v>0</v>
      </c>
      <c r="L195" s="4">
        <f t="shared" si="3"/>
        <v>591.8</v>
      </c>
      <c r="M195" s="5" t="s">
        <v>41</v>
      </c>
      <c r="N195" s="1" t="s">
        <v>33</v>
      </c>
      <c r="Q195" s="1" t="s">
        <v>131</v>
      </c>
      <c r="R195" s="1" t="s">
        <v>65</v>
      </c>
    </row>
    <row r="196">
      <c r="A196" s="1">
        <v>7002328.0</v>
      </c>
      <c r="B196" s="1" t="s">
        <v>129</v>
      </c>
      <c r="C196" s="1">
        <v>7484049.0</v>
      </c>
      <c r="D196" s="1" t="s">
        <v>22</v>
      </c>
      <c r="E196" s="1" t="s">
        <v>23</v>
      </c>
      <c r="F196" s="1" t="s">
        <v>130</v>
      </c>
      <c r="G196" s="1">
        <v>3.8257185E7</v>
      </c>
      <c r="H196" s="1">
        <v>1939.35</v>
      </c>
      <c r="I196" s="3">
        <f>IFERROR(__xludf.DUMMYFUNCTION("IFERROR(VALUE(REGEXEXTRACT(F196, ""(\d+)[-\s]?Cores?"")))"),16.0)</f>
        <v>16</v>
      </c>
      <c r="J196" s="3">
        <f t="shared" si="1"/>
        <v>1</v>
      </c>
      <c r="K196" s="1">
        <f t="shared" si="2"/>
        <v>0</v>
      </c>
      <c r="L196" s="4">
        <f t="shared" si="3"/>
        <v>591.8</v>
      </c>
      <c r="M196" s="5" t="s">
        <v>41</v>
      </c>
      <c r="N196" s="1" t="s">
        <v>33</v>
      </c>
      <c r="Q196" s="1" t="s">
        <v>131</v>
      </c>
      <c r="R196" s="1" t="s">
        <v>65</v>
      </c>
    </row>
    <row r="197">
      <c r="A197" s="1">
        <v>7002328.0</v>
      </c>
      <c r="B197" s="1" t="s">
        <v>129</v>
      </c>
      <c r="C197" s="1">
        <v>7484049.0</v>
      </c>
      <c r="D197" s="1" t="s">
        <v>22</v>
      </c>
      <c r="E197" s="1" t="s">
        <v>23</v>
      </c>
      <c r="F197" s="1" t="s">
        <v>130</v>
      </c>
      <c r="G197" s="1">
        <v>4.3630837E7</v>
      </c>
      <c r="H197" s="1">
        <v>1939.35</v>
      </c>
      <c r="I197" s="3">
        <f>IFERROR(__xludf.DUMMYFUNCTION("IFERROR(VALUE(REGEXEXTRACT(F197, ""(\d+)[-\s]?Cores?"")))"),16.0)</f>
        <v>16</v>
      </c>
      <c r="J197" s="3">
        <f t="shared" si="1"/>
        <v>1</v>
      </c>
      <c r="K197" s="1">
        <f t="shared" si="2"/>
        <v>0</v>
      </c>
      <c r="L197" s="4">
        <f t="shared" si="3"/>
        <v>591.8</v>
      </c>
      <c r="M197" s="5" t="s">
        <v>41</v>
      </c>
      <c r="N197" s="1" t="s">
        <v>33</v>
      </c>
      <c r="Q197" s="1" t="s">
        <v>131</v>
      </c>
      <c r="R197" s="1" t="s">
        <v>65</v>
      </c>
    </row>
    <row r="198">
      <c r="A198" s="1">
        <v>7002328.0</v>
      </c>
      <c r="B198" s="1" t="s">
        <v>129</v>
      </c>
      <c r="C198" s="1">
        <v>7484051.0</v>
      </c>
      <c r="D198" s="1" t="s">
        <v>22</v>
      </c>
      <c r="E198" s="1" t="s">
        <v>23</v>
      </c>
      <c r="F198" s="1" t="s">
        <v>130</v>
      </c>
      <c r="G198" s="1">
        <v>3.8257213E7</v>
      </c>
      <c r="H198" s="1">
        <v>1939.35</v>
      </c>
      <c r="I198" s="3">
        <f>IFERROR(__xludf.DUMMYFUNCTION("IFERROR(VALUE(REGEXEXTRACT(F198, ""(\d+)[-\s]?Cores?"")))"),16.0)</f>
        <v>16</v>
      </c>
      <c r="J198" s="3">
        <f t="shared" si="1"/>
        <v>1</v>
      </c>
      <c r="K198" s="1">
        <f t="shared" si="2"/>
        <v>0</v>
      </c>
      <c r="L198" s="4">
        <f t="shared" si="3"/>
        <v>591.8</v>
      </c>
      <c r="M198" s="5" t="s">
        <v>41</v>
      </c>
      <c r="N198" s="1" t="s">
        <v>33</v>
      </c>
      <c r="Q198" s="1" t="s">
        <v>131</v>
      </c>
      <c r="R198" s="1" t="s">
        <v>65</v>
      </c>
    </row>
    <row r="199">
      <c r="A199" s="1">
        <v>7002328.0</v>
      </c>
      <c r="B199" s="1" t="s">
        <v>129</v>
      </c>
      <c r="C199" s="1">
        <v>7484051.0</v>
      </c>
      <c r="D199" s="1" t="s">
        <v>22</v>
      </c>
      <c r="E199" s="1" t="s">
        <v>23</v>
      </c>
      <c r="F199" s="1" t="s">
        <v>130</v>
      </c>
      <c r="G199" s="1">
        <v>4.3630839E7</v>
      </c>
      <c r="H199" s="1">
        <v>1939.35</v>
      </c>
      <c r="I199" s="3">
        <f>IFERROR(__xludf.DUMMYFUNCTION("IFERROR(VALUE(REGEXEXTRACT(F199, ""(\d+)[-\s]?Cores?"")))"),16.0)</f>
        <v>16</v>
      </c>
      <c r="J199" s="3">
        <f t="shared" si="1"/>
        <v>1</v>
      </c>
      <c r="K199" s="1">
        <f t="shared" si="2"/>
        <v>0</v>
      </c>
      <c r="L199" s="4">
        <f t="shared" si="3"/>
        <v>591.8</v>
      </c>
      <c r="M199" s="5" t="s">
        <v>41</v>
      </c>
      <c r="N199" s="1" t="s">
        <v>33</v>
      </c>
      <c r="Q199" s="1" t="s">
        <v>131</v>
      </c>
      <c r="R199" s="1" t="s">
        <v>65</v>
      </c>
    </row>
    <row r="200" hidden="1">
      <c r="A200" s="1">
        <v>7013099.0</v>
      </c>
      <c r="B200" s="1" t="s">
        <v>132</v>
      </c>
      <c r="C200" s="1">
        <v>7656572.0</v>
      </c>
      <c r="D200" s="1" t="s">
        <v>22</v>
      </c>
      <c r="E200" s="1" t="s">
        <v>23</v>
      </c>
      <c r="F200" s="1" t="s">
        <v>127</v>
      </c>
      <c r="G200" s="1">
        <v>4.360533E7</v>
      </c>
      <c r="H200" s="1">
        <v>5049.1429</v>
      </c>
      <c r="I200" s="3">
        <f>IFERROR(__xludf.DUMMYFUNCTION("IFERROR(VALUE(REGEXEXTRACT(F200, ""(\d+)[-\s]?Cores?"")))"),16.0)</f>
        <v>16</v>
      </c>
      <c r="J200" s="3">
        <f t="shared" si="1"/>
        <v>1</v>
      </c>
      <c r="K200" s="1">
        <f t="shared" si="2"/>
        <v>0</v>
      </c>
      <c r="L200" s="4">
        <f t="shared" si="3"/>
        <v>591.8</v>
      </c>
      <c r="M200" s="5" t="s">
        <v>41</v>
      </c>
      <c r="N200" s="1" t="s">
        <v>59</v>
      </c>
    </row>
    <row r="201" hidden="1">
      <c r="A201" s="1">
        <v>7013099.0</v>
      </c>
      <c r="B201" s="1" t="s">
        <v>132</v>
      </c>
      <c r="C201" s="1">
        <v>7656572.0</v>
      </c>
      <c r="D201" s="1" t="s">
        <v>22</v>
      </c>
      <c r="E201" s="1" t="s">
        <v>23</v>
      </c>
      <c r="F201" s="1" t="s">
        <v>127</v>
      </c>
      <c r="G201" s="1">
        <v>4.3605331E7</v>
      </c>
      <c r="H201" s="1">
        <v>5049.1429</v>
      </c>
      <c r="I201" s="3">
        <f>IFERROR(__xludf.DUMMYFUNCTION("IFERROR(VALUE(REGEXEXTRACT(F201, ""(\d+)[-\s]?Cores?"")))"),16.0)</f>
        <v>16</v>
      </c>
      <c r="J201" s="3">
        <f t="shared" si="1"/>
        <v>1</v>
      </c>
      <c r="K201" s="1">
        <f t="shared" si="2"/>
        <v>0</v>
      </c>
      <c r="L201" s="4">
        <f t="shared" si="3"/>
        <v>591.8</v>
      </c>
      <c r="M201" s="5" t="s">
        <v>41</v>
      </c>
      <c r="N201" s="1" t="s">
        <v>59</v>
      </c>
    </row>
    <row r="202" hidden="1">
      <c r="A202" s="1">
        <v>7013099.0</v>
      </c>
      <c r="B202" s="1" t="s">
        <v>132</v>
      </c>
      <c r="C202" s="1">
        <v>7656576.0</v>
      </c>
      <c r="D202" s="1" t="s">
        <v>22</v>
      </c>
      <c r="E202" s="1" t="s">
        <v>23</v>
      </c>
      <c r="F202" s="1" t="s">
        <v>127</v>
      </c>
      <c r="G202" s="1">
        <v>4.3605334E7</v>
      </c>
      <c r="H202" s="1">
        <v>5049.1429</v>
      </c>
      <c r="I202" s="3">
        <f>IFERROR(__xludf.DUMMYFUNCTION("IFERROR(VALUE(REGEXEXTRACT(F202, ""(\d+)[-\s]?Cores?"")))"),16.0)</f>
        <v>16</v>
      </c>
      <c r="J202" s="3">
        <f t="shared" si="1"/>
        <v>1</v>
      </c>
      <c r="K202" s="1">
        <f t="shared" si="2"/>
        <v>0</v>
      </c>
      <c r="L202" s="4">
        <f t="shared" si="3"/>
        <v>591.8</v>
      </c>
      <c r="M202" s="5" t="s">
        <v>41</v>
      </c>
      <c r="N202" s="1" t="s">
        <v>59</v>
      </c>
    </row>
    <row r="203" hidden="1">
      <c r="A203" s="1">
        <v>7013099.0</v>
      </c>
      <c r="B203" s="1" t="s">
        <v>132</v>
      </c>
      <c r="C203" s="1">
        <v>7656576.0</v>
      </c>
      <c r="D203" s="1" t="s">
        <v>22</v>
      </c>
      <c r="E203" s="1" t="s">
        <v>23</v>
      </c>
      <c r="F203" s="1" t="s">
        <v>127</v>
      </c>
      <c r="G203" s="1">
        <v>4.3605335E7</v>
      </c>
      <c r="H203" s="1">
        <v>5049.1429</v>
      </c>
      <c r="I203" s="3">
        <f>IFERROR(__xludf.DUMMYFUNCTION("IFERROR(VALUE(REGEXEXTRACT(F203, ""(\d+)[-\s]?Cores?"")))"),16.0)</f>
        <v>16</v>
      </c>
      <c r="J203" s="3">
        <f t="shared" si="1"/>
        <v>1</v>
      </c>
      <c r="K203" s="1">
        <f t="shared" si="2"/>
        <v>0</v>
      </c>
      <c r="L203" s="4">
        <f t="shared" si="3"/>
        <v>591.8</v>
      </c>
      <c r="M203" s="5" t="s">
        <v>41</v>
      </c>
      <c r="N203" s="1" t="s">
        <v>59</v>
      </c>
    </row>
    <row r="204">
      <c r="A204" s="1">
        <v>7002328.0</v>
      </c>
      <c r="B204" s="1" t="s">
        <v>129</v>
      </c>
      <c r="C204" s="1">
        <v>7687200.0</v>
      </c>
      <c r="D204" s="1" t="s">
        <v>22</v>
      </c>
      <c r="E204" s="1" t="s">
        <v>23</v>
      </c>
      <c r="F204" s="1" t="s">
        <v>130</v>
      </c>
      <c r="G204" s="1">
        <v>4.1471539E7</v>
      </c>
      <c r="H204" s="1">
        <v>1939.35</v>
      </c>
      <c r="I204" s="3">
        <f>IFERROR(__xludf.DUMMYFUNCTION("IFERROR(VALUE(REGEXEXTRACT(F204, ""(\d+)[-\s]?Cores?"")))"),16.0)</f>
        <v>16</v>
      </c>
      <c r="J204" s="3">
        <f t="shared" si="1"/>
        <v>1</v>
      </c>
      <c r="K204" s="1">
        <f t="shared" si="2"/>
        <v>0</v>
      </c>
      <c r="L204" s="4">
        <f t="shared" si="3"/>
        <v>591.8</v>
      </c>
      <c r="M204" s="5" t="s">
        <v>41</v>
      </c>
      <c r="N204" s="1" t="s">
        <v>33</v>
      </c>
      <c r="Q204" s="1" t="s">
        <v>131</v>
      </c>
      <c r="R204" s="1" t="s">
        <v>65</v>
      </c>
    </row>
    <row r="205">
      <c r="A205" s="1">
        <v>7002328.0</v>
      </c>
      <c r="B205" s="1" t="s">
        <v>129</v>
      </c>
      <c r="C205" s="1">
        <v>7687200.0</v>
      </c>
      <c r="D205" s="1" t="s">
        <v>22</v>
      </c>
      <c r="E205" s="1" t="s">
        <v>23</v>
      </c>
      <c r="F205" s="1" t="s">
        <v>130</v>
      </c>
      <c r="G205" s="1">
        <v>4.3630841E7</v>
      </c>
      <c r="H205" s="1">
        <v>1939.35</v>
      </c>
      <c r="I205" s="3">
        <f>IFERROR(__xludf.DUMMYFUNCTION("IFERROR(VALUE(REGEXEXTRACT(F205, ""(\d+)[-\s]?Cores?"")))"),16.0)</f>
        <v>16</v>
      </c>
      <c r="J205" s="3">
        <f t="shared" si="1"/>
        <v>1</v>
      </c>
      <c r="K205" s="1">
        <f t="shared" si="2"/>
        <v>0</v>
      </c>
      <c r="L205" s="4">
        <f t="shared" si="3"/>
        <v>591.8</v>
      </c>
      <c r="M205" s="5" t="s">
        <v>41</v>
      </c>
      <c r="N205" s="1" t="s">
        <v>33</v>
      </c>
      <c r="Q205" s="1" t="s">
        <v>131</v>
      </c>
      <c r="R205" s="1" t="s">
        <v>65</v>
      </c>
    </row>
    <row r="206" hidden="1">
      <c r="A206" s="1">
        <v>7014601.0</v>
      </c>
      <c r="B206" s="1" t="s">
        <v>133</v>
      </c>
      <c r="C206" s="1">
        <v>7756978.0</v>
      </c>
      <c r="D206" s="1" t="s">
        <v>22</v>
      </c>
      <c r="E206" s="1" t="s">
        <v>23</v>
      </c>
      <c r="F206" s="1" t="s">
        <v>125</v>
      </c>
      <c r="G206" s="1">
        <v>4.253342E7</v>
      </c>
      <c r="H206" s="1">
        <v>3460.7306</v>
      </c>
      <c r="I206" s="3">
        <f>IFERROR(__xludf.DUMMYFUNCTION("IFERROR(VALUE(REGEXEXTRACT(F206, ""(\d+)[-\s]?Cores?"")))"),16.0)</f>
        <v>16</v>
      </c>
      <c r="J206" s="3">
        <f t="shared" si="1"/>
        <v>1</v>
      </c>
      <c r="K206" s="1">
        <f t="shared" si="2"/>
        <v>0</v>
      </c>
      <c r="L206" s="4">
        <f t="shared" si="3"/>
        <v>591.8</v>
      </c>
      <c r="M206" s="5" t="s">
        <v>41</v>
      </c>
      <c r="N206" s="1" t="s">
        <v>99</v>
      </c>
    </row>
    <row r="207" hidden="1">
      <c r="A207" s="1">
        <v>7014601.0</v>
      </c>
      <c r="B207" s="1" t="s">
        <v>133</v>
      </c>
      <c r="C207" s="1">
        <v>7756978.0</v>
      </c>
      <c r="D207" s="1" t="s">
        <v>22</v>
      </c>
      <c r="E207" s="1" t="s">
        <v>23</v>
      </c>
      <c r="F207" s="1" t="s">
        <v>125</v>
      </c>
      <c r="G207" s="1">
        <v>4.2533421E7</v>
      </c>
      <c r="H207" s="1">
        <v>3460.7306</v>
      </c>
      <c r="I207" s="3">
        <f>IFERROR(__xludf.DUMMYFUNCTION("IFERROR(VALUE(REGEXEXTRACT(F207, ""(\d+)[-\s]?Cores?"")))"),16.0)</f>
        <v>16</v>
      </c>
      <c r="J207" s="3">
        <f t="shared" si="1"/>
        <v>1</v>
      </c>
      <c r="K207" s="1">
        <f t="shared" si="2"/>
        <v>0</v>
      </c>
      <c r="L207" s="4">
        <f t="shared" si="3"/>
        <v>591.8</v>
      </c>
      <c r="M207" s="5" t="s">
        <v>41</v>
      </c>
      <c r="N207" s="1" t="s">
        <v>99</v>
      </c>
    </row>
    <row r="208" hidden="1">
      <c r="A208" s="1">
        <v>7014601.0</v>
      </c>
      <c r="B208" s="1" t="s">
        <v>133</v>
      </c>
      <c r="C208" s="1">
        <v>7756979.0</v>
      </c>
      <c r="D208" s="1" t="s">
        <v>22</v>
      </c>
      <c r="E208" s="1" t="s">
        <v>23</v>
      </c>
      <c r="F208" s="1" t="s">
        <v>125</v>
      </c>
      <c r="G208" s="1">
        <v>4.2533443E7</v>
      </c>
      <c r="H208" s="1">
        <v>3460.7306</v>
      </c>
      <c r="I208" s="3">
        <f>IFERROR(__xludf.DUMMYFUNCTION("IFERROR(VALUE(REGEXEXTRACT(F208, ""(\d+)[-\s]?Cores?"")))"),16.0)</f>
        <v>16</v>
      </c>
      <c r="J208" s="3">
        <f t="shared" si="1"/>
        <v>1</v>
      </c>
      <c r="K208" s="1">
        <f t="shared" si="2"/>
        <v>0</v>
      </c>
      <c r="L208" s="4">
        <f t="shared" si="3"/>
        <v>591.8</v>
      </c>
      <c r="M208" s="5" t="s">
        <v>41</v>
      </c>
      <c r="N208" s="1" t="s">
        <v>99</v>
      </c>
    </row>
    <row r="209" hidden="1">
      <c r="A209" s="1">
        <v>7014601.0</v>
      </c>
      <c r="B209" s="1" t="s">
        <v>133</v>
      </c>
      <c r="C209" s="1">
        <v>7756979.0</v>
      </c>
      <c r="D209" s="1" t="s">
        <v>22</v>
      </c>
      <c r="E209" s="1" t="s">
        <v>23</v>
      </c>
      <c r="F209" s="1" t="s">
        <v>125</v>
      </c>
      <c r="G209" s="1">
        <v>4.2533444E7</v>
      </c>
      <c r="H209" s="1">
        <v>3460.7306</v>
      </c>
      <c r="I209" s="3">
        <f>IFERROR(__xludf.DUMMYFUNCTION("IFERROR(VALUE(REGEXEXTRACT(F209, ""(\d+)[-\s]?Cores?"")))"),16.0)</f>
        <v>16</v>
      </c>
      <c r="J209" s="3">
        <f t="shared" si="1"/>
        <v>1</v>
      </c>
      <c r="K209" s="1">
        <f t="shared" si="2"/>
        <v>0</v>
      </c>
      <c r="L209" s="4">
        <f t="shared" si="3"/>
        <v>591.8</v>
      </c>
      <c r="M209" s="5" t="s">
        <v>41</v>
      </c>
      <c r="N209" s="1" t="s">
        <v>99</v>
      </c>
    </row>
    <row r="210" hidden="1">
      <c r="A210" s="1">
        <v>7000559.0</v>
      </c>
      <c r="B210" s="1" t="s">
        <v>134</v>
      </c>
      <c r="C210" s="1">
        <v>7925415.0</v>
      </c>
      <c r="D210" s="1" t="s">
        <v>22</v>
      </c>
      <c r="E210" s="1" t="s">
        <v>56</v>
      </c>
      <c r="F210" s="1" t="s">
        <v>125</v>
      </c>
      <c r="G210" s="1">
        <v>4.3663663E7</v>
      </c>
      <c r="H210" s="1">
        <v>1548.7007</v>
      </c>
      <c r="I210" s="3">
        <f>IFERROR(__xludf.DUMMYFUNCTION("IFERROR(VALUE(REGEXEXTRACT(F210, ""(\d+)[-\s]?Cores?"")))"),16.0)</f>
        <v>16</v>
      </c>
      <c r="J210" s="3">
        <f t="shared" si="1"/>
        <v>1</v>
      </c>
      <c r="K210" s="1">
        <f t="shared" si="2"/>
        <v>0</v>
      </c>
      <c r="L210" s="4">
        <f t="shared" si="3"/>
        <v>591.8</v>
      </c>
      <c r="M210" s="5" t="s">
        <v>41</v>
      </c>
      <c r="N210" s="1" t="s">
        <v>25</v>
      </c>
    </row>
    <row r="211" hidden="1">
      <c r="A211" s="1">
        <v>7000559.0</v>
      </c>
      <c r="B211" s="1" t="s">
        <v>134</v>
      </c>
      <c r="C211" s="1">
        <v>7925417.0</v>
      </c>
      <c r="D211" s="1" t="s">
        <v>22</v>
      </c>
      <c r="E211" s="1" t="s">
        <v>56</v>
      </c>
      <c r="F211" s="1" t="s">
        <v>125</v>
      </c>
      <c r="G211" s="1">
        <v>4.3663689E7</v>
      </c>
      <c r="H211" s="1">
        <v>1548.7007</v>
      </c>
      <c r="I211" s="3">
        <f>IFERROR(__xludf.DUMMYFUNCTION("IFERROR(VALUE(REGEXEXTRACT(F211, ""(\d+)[-\s]?Cores?"")))"),16.0)</f>
        <v>16</v>
      </c>
      <c r="J211" s="3">
        <f t="shared" si="1"/>
        <v>1</v>
      </c>
      <c r="K211" s="1">
        <f t="shared" si="2"/>
        <v>0</v>
      </c>
      <c r="L211" s="4">
        <f t="shared" si="3"/>
        <v>591.8</v>
      </c>
      <c r="M211" s="5" t="s">
        <v>41</v>
      </c>
      <c r="N211" s="1" t="s">
        <v>25</v>
      </c>
    </row>
    <row r="212" hidden="1">
      <c r="A212" s="1">
        <v>5759510.0</v>
      </c>
      <c r="B212" s="1" t="s">
        <v>121</v>
      </c>
      <c r="C212" s="1">
        <v>7929540.0</v>
      </c>
      <c r="D212" s="1" t="s">
        <v>22</v>
      </c>
      <c r="E212" s="1" t="s">
        <v>56</v>
      </c>
      <c r="F212" s="1" t="s">
        <v>135</v>
      </c>
      <c r="G212" s="1">
        <v>4.3667912E7</v>
      </c>
      <c r="H212" s="1">
        <v>3109.818</v>
      </c>
      <c r="I212" s="3">
        <f>IFERROR(__xludf.DUMMYFUNCTION("IFERROR(VALUE(REGEXEXTRACT(F212, ""(\d+)[-\s]?Cores?"")))"),16.0)</f>
        <v>16</v>
      </c>
      <c r="J212" s="3">
        <f t="shared" si="1"/>
        <v>1</v>
      </c>
      <c r="K212" s="1">
        <f t="shared" si="2"/>
        <v>0</v>
      </c>
      <c r="L212" s="4">
        <f t="shared" si="3"/>
        <v>591.8</v>
      </c>
      <c r="M212" s="5" t="s">
        <v>136</v>
      </c>
      <c r="N212" s="1" t="s">
        <v>59</v>
      </c>
    </row>
    <row r="213" hidden="1">
      <c r="A213" s="1">
        <v>5759510.0</v>
      </c>
      <c r="B213" s="1" t="s">
        <v>121</v>
      </c>
      <c r="C213" s="1">
        <v>7929540.0</v>
      </c>
      <c r="D213" s="1" t="s">
        <v>22</v>
      </c>
      <c r="E213" s="1" t="s">
        <v>56</v>
      </c>
      <c r="F213" s="1" t="s">
        <v>135</v>
      </c>
      <c r="G213" s="1">
        <v>4.3667913E7</v>
      </c>
      <c r="H213" s="1">
        <v>3109.818</v>
      </c>
      <c r="I213" s="3">
        <f>IFERROR(__xludf.DUMMYFUNCTION("IFERROR(VALUE(REGEXEXTRACT(F213, ""(\d+)[-\s]?Cores?"")))"),16.0)</f>
        <v>16</v>
      </c>
      <c r="J213" s="3">
        <f t="shared" si="1"/>
        <v>1</v>
      </c>
      <c r="K213" s="1">
        <f t="shared" si="2"/>
        <v>0</v>
      </c>
      <c r="L213" s="4">
        <f t="shared" si="3"/>
        <v>591.8</v>
      </c>
      <c r="M213" s="5" t="s">
        <v>136</v>
      </c>
      <c r="N213" s="1" t="s">
        <v>59</v>
      </c>
    </row>
    <row r="214" hidden="1">
      <c r="A214" s="1">
        <v>7014917.0</v>
      </c>
      <c r="B214" s="1" t="s">
        <v>87</v>
      </c>
      <c r="C214" s="1">
        <v>7930869.0</v>
      </c>
      <c r="D214" s="1" t="s">
        <v>22</v>
      </c>
      <c r="E214" s="1" t="s">
        <v>56</v>
      </c>
      <c r="F214" s="1" t="s">
        <v>137</v>
      </c>
      <c r="G214" s="1">
        <v>4.3694041E7</v>
      </c>
      <c r="H214" s="1">
        <v>2754.9118</v>
      </c>
      <c r="I214" s="3">
        <f>IFERROR(__xludf.DUMMYFUNCTION("IFERROR(VALUE(REGEXEXTRACT(F214, ""(\d+)[-\s]?Cores?"")))"),16.0)</f>
        <v>16</v>
      </c>
      <c r="J214" s="3">
        <f t="shared" si="1"/>
        <v>1</v>
      </c>
      <c r="K214" s="1">
        <f t="shared" si="2"/>
        <v>0</v>
      </c>
      <c r="L214" s="4">
        <f t="shared" si="3"/>
        <v>591.8</v>
      </c>
      <c r="M214" s="5" t="s">
        <v>136</v>
      </c>
      <c r="N214" s="1" t="s">
        <v>48</v>
      </c>
      <c r="O214" s="1" t="s">
        <v>119</v>
      </c>
      <c r="P214" s="1" t="s">
        <v>50</v>
      </c>
      <c r="R214" s="1" t="s">
        <v>120</v>
      </c>
    </row>
    <row r="215" hidden="1">
      <c r="A215" s="1">
        <v>7014917.0</v>
      </c>
      <c r="B215" s="1" t="s">
        <v>87</v>
      </c>
      <c r="C215" s="1">
        <v>7930870.0</v>
      </c>
      <c r="D215" s="1" t="s">
        <v>22</v>
      </c>
      <c r="E215" s="1" t="s">
        <v>56</v>
      </c>
      <c r="F215" s="1" t="s">
        <v>137</v>
      </c>
      <c r="G215" s="1">
        <v>4.3694064E7</v>
      </c>
      <c r="H215" s="1">
        <v>2754.9118</v>
      </c>
      <c r="I215" s="3">
        <f>IFERROR(__xludf.DUMMYFUNCTION("IFERROR(VALUE(REGEXEXTRACT(F215, ""(\d+)[-\s]?Cores?"")))"),16.0)</f>
        <v>16</v>
      </c>
      <c r="J215" s="3">
        <f t="shared" si="1"/>
        <v>1</v>
      </c>
      <c r="K215" s="1">
        <f t="shared" si="2"/>
        <v>0</v>
      </c>
      <c r="L215" s="4">
        <f t="shared" si="3"/>
        <v>591.8</v>
      </c>
      <c r="M215" s="5" t="s">
        <v>136</v>
      </c>
      <c r="N215" s="1" t="s">
        <v>48</v>
      </c>
      <c r="O215" s="1" t="s">
        <v>138</v>
      </c>
      <c r="P215" s="1" t="s">
        <v>50</v>
      </c>
      <c r="R215" s="1" t="s">
        <v>91</v>
      </c>
    </row>
    <row r="216" hidden="1">
      <c r="A216" s="1">
        <v>7014917.0</v>
      </c>
      <c r="B216" s="1" t="s">
        <v>87</v>
      </c>
      <c r="C216" s="1">
        <v>7930871.0</v>
      </c>
      <c r="D216" s="1" t="s">
        <v>22</v>
      </c>
      <c r="E216" s="1" t="s">
        <v>56</v>
      </c>
      <c r="F216" s="1" t="s">
        <v>137</v>
      </c>
      <c r="G216" s="1">
        <v>4.3694087E7</v>
      </c>
      <c r="H216" s="1">
        <v>2754.9118</v>
      </c>
      <c r="I216" s="3">
        <f>IFERROR(__xludf.DUMMYFUNCTION("IFERROR(VALUE(REGEXEXTRACT(F216, ""(\d+)[-\s]?Cores?"")))"),16.0)</f>
        <v>16</v>
      </c>
      <c r="J216" s="3">
        <f t="shared" si="1"/>
        <v>1</v>
      </c>
      <c r="K216" s="1">
        <f t="shared" si="2"/>
        <v>0</v>
      </c>
      <c r="L216" s="4">
        <f t="shared" si="3"/>
        <v>591.8</v>
      </c>
      <c r="M216" s="5" t="s">
        <v>136</v>
      </c>
      <c r="N216" s="1" t="s">
        <v>48</v>
      </c>
      <c r="O216" s="1" t="s">
        <v>138</v>
      </c>
      <c r="P216" s="1" t="s">
        <v>50</v>
      </c>
      <c r="R216" s="1" t="s">
        <v>91</v>
      </c>
    </row>
    <row r="217" hidden="1">
      <c r="A217" s="1">
        <v>7014917.0</v>
      </c>
      <c r="B217" s="1" t="s">
        <v>87</v>
      </c>
      <c r="C217" s="1">
        <v>7930872.0</v>
      </c>
      <c r="D217" s="1" t="s">
        <v>22</v>
      </c>
      <c r="E217" s="1" t="s">
        <v>56</v>
      </c>
      <c r="F217" s="1" t="s">
        <v>137</v>
      </c>
      <c r="G217" s="1">
        <v>4.369411E7</v>
      </c>
      <c r="H217" s="1">
        <v>2754.9118</v>
      </c>
      <c r="I217" s="3">
        <f>IFERROR(__xludf.DUMMYFUNCTION("IFERROR(VALUE(REGEXEXTRACT(F217, ""(\d+)[-\s]?Cores?"")))"),16.0)</f>
        <v>16</v>
      </c>
      <c r="J217" s="3">
        <f t="shared" si="1"/>
        <v>1</v>
      </c>
      <c r="K217" s="1">
        <f t="shared" si="2"/>
        <v>0</v>
      </c>
      <c r="L217" s="4">
        <f t="shared" si="3"/>
        <v>591.8</v>
      </c>
      <c r="M217" s="5" t="s">
        <v>136</v>
      </c>
      <c r="N217" s="1" t="s">
        <v>48</v>
      </c>
      <c r="O217" s="1" t="s">
        <v>138</v>
      </c>
      <c r="P217" s="1" t="s">
        <v>50</v>
      </c>
      <c r="R217" s="1" t="s">
        <v>91</v>
      </c>
    </row>
    <row r="218" hidden="1">
      <c r="A218" s="1">
        <v>7014917.0</v>
      </c>
      <c r="B218" s="1" t="s">
        <v>87</v>
      </c>
      <c r="C218" s="1">
        <v>7930874.0</v>
      </c>
      <c r="D218" s="1" t="s">
        <v>22</v>
      </c>
      <c r="E218" s="1" t="s">
        <v>56</v>
      </c>
      <c r="F218" s="1" t="s">
        <v>137</v>
      </c>
      <c r="G218" s="1">
        <v>4.3694147E7</v>
      </c>
      <c r="H218" s="1">
        <v>2660.6215</v>
      </c>
      <c r="I218" s="3">
        <f>IFERROR(__xludf.DUMMYFUNCTION("IFERROR(VALUE(REGEXEXTRACT(F218, ""(\d+)[-\s]?Cores?"")))"),16.0)</f>
        <v>16</v>
      </c>
      <c r="J218" s="3">
        <f t="shared" si="1"/>
        <v>1</v>
      </c>
      <c r="K218" s="1">
        <f t="shared" si="2"/>
        <v>0</v>
      </c>
      <c r="L218" s="4">
        <f t="shared" si="3"/>
        <v>591.8</v>
      </c>
      <c r="M218" s="5" t="s">
        <v>136</v>
      </c>
      <c r="N218" s="1" t="s">
        <v>48</v>
      </c>
      <c r="O218" s="1" t="s">
        <v>138</v>
      </c>
      <c r="P218" s="1" t="s">
        <v>50</v>
      </c>
      <c r="R218" s="1" t="s">
        <v>91</v>
      </c>
    </row>
    <row r="219" hidden="1">
      <c r="A219" s="1">
        <v>7014917.0</v>
      </c>
      <c r="B219" s="1" t="s">
        <v>87</v>
      </c>
      <c r="C219" s="1">
        <v>7930875.0</v>
      </c>
      <c r="D219" s="1" t="s">
        <v>22</v>
      </c>
      <c r="E219" s="1" t="s">
        <v>56</v>
      </c>
      <c r="F219" s="1" t="s">
        <v>137</v>
      </c>
      <c r="G219" s="1">
        <v>4.369417E7</v>
      </c>
      <c r="H219" s="1">
        <v>2660.6215</v>
      </c>
      <c r="I219" s="3">
        <f>IFERROR(__xludf.DUMMYFUNCTION("IFERROR(VALUE(REGEXEXTRACT(F219, ""(\d+)[-\s]?Cores?"")))"),16.0)</f>
        <v>16</v>
      </c>
      <c r="J219" s="3">
        <f t="shared" si="1"/>
        <v>1</v>
      </c>
      <c r="K219" s="1">
        <f t="shared" si="2"/>
        <v>0</v>
      </c>
      <c r="L219" s="4">
        <f t="shared" si="3"/>
        <v>591.8</v>
      </c>
      <c r="M219" s="5" t="s">
        <v>136</v>
      </c>
      <c r="N219" s="1" t="s">
        <v>48</v>
      </c>
      <c r="O219" s="1" t="s">
        <v>138</v>
      </c>
      <c r="P219" s="1" t="s">
        <v>50</v>
      </c>
      <c r="R219" s="1" t="s">
        <v>91</v>
      </c>
    </row>
    <row r="220" hidden="1">
      <c r="A220" s="1">
        <v>7014917.0</v>
      </c>
      <c r="B220" s="1" t="s">
        <v>87</v>
      </c>
      <c r="C220" s="1">
        <v>7930876.0</v>
      </c>
      <c r="D220" s="1" t="s">
        <v>22</v>
      </c>
      <c r="E220" s="1" t="s">
        <v>56</v>
      </c>
      <c r="F220" s="1" t="s">
        <v>137</v>
      </c>
      <c r="G220" s="1">
        <v>4.3694193E7</v>
      </c>
      <c r="H220" s="1">
        <v>2660.6215</v>
      </c>
      <c r="I220" s="3">
        <f>IFERROR(__xludf.DUMMYFUNCTION("IFERROR(VALUE(REGEXEXTRACT(F220, ""(\d+)[-\s]?Cores?"")))"),16.0)</f>
        <v>16</v>
      </c>
      <c r="J220" s="3">
        <f t="shared" si="1"/>
        <v>1</v>
      </c>
      <c r="K220" s="1">
        <f t="shared" si="2"/>
        <v>0</v>
      </c>
      <c r="L220" s="4">
        <f t="shared" si="3"/>
        <v>591.8</v>
      </c>
      <c r="M220" s="5" t="s">
        <v>136</v>
      </c>
      <c r="N220" s="1" t="s">
        <v>48</v>
      </c>
      <c r="O220" s="1" t="s">
        <v>138</v>
      </c>
      <c r="P220" s="1" t="s">
        <v>50</v>
      </c>
      <c r="R220" s="1" t="s">
        <v>91</v>
      </c>
    </row>
    <row r="221">
      <c r="A221" s="1">
        <v>7015138.0</v>
      </c>
      <c r="B221" s="1" t="s">
        <v>139</v>
      </c>
      <c r="C221" s="1">
        <v>6821914.0</v>
      </c>
      <c r="D221" s="1" t="s">
        <v>22</v>
      </c>
      <c r="E221" s="1" t="s">
        <v>23</v>
      </c>
      <c r="F221" s="1" t="s">
        <v>140</v>
      </c>
      <c r="G221" s="1">
        <v>3.1074962E7</v>
      </c>
      <c r="H221" s="1">
        <v>3734.63</v>
      </c>
      <c r="I221" s="3">
        <f>IFERROR(__xludf.DUMMYFUNCTION("IFERROR(VALUE(REGEXEXTRACT(F221, ""(\d+)[-\s]?Cores?"")))"),20.0)</f>
        <v>20</v>
      </c>
      <c r="J221" s="3">
        <f t="shared" si="1"/>
        <v>1</v>
      </c>
      <c r="K221" s="1">
        <f t="shared" si="2"/>
        <v>2</v>
      </c>
      <c r="L221" s="4">
        <f t="shared" si="3"/>
        <v>739.76</v>
      </c>
      <c r="M221" s="5" t="s">
        <v>41</v>
      </c>
      <c r="N221" s="1" t="s">
        <v>33</v>
      </c>
      <c r="Q221" s="1" t="s">
        <v>141</v>
      </c>
      <c r="R221" s="1" t="s">
        <v>65</v>
      </c>
    </row>
    <row r="222">
      <c r="A222" s="1">
        <v>7015138.0</v>
      </c>
      <c r="B222" s="1" t="s">
        <v>139</v>
      </c>
      <c r="C222" s="1">
        <v>6821914.0</v>
      </c>
      <c r="D222" s="1" t="s">
        <v>22</v>
      </c>
      <c r="E222" s="1" t="s">
        <v>23</v>
      </c>
      <c r="F222" s="1" t="s">
        <v>140</v>
      </c>
      <c r="G222" s="1">
        <v>3.1074963E7</v>
      </c>
      <c r="H222" s="1">
        <v>3734.63</v>
      </c>
      <c r="I222" s="3">
        <f>IFERROR(__xludf.DUMMYFUNCTION("IFERROR(VALUE(REGEXEXTRACT(F222, ""(\d+)[-\s]?Cores?"")))"),20.0)</f>
        <v>20</v>
      </c>
      <c r="J222" s="3">
        <f t="shared" si="1"/>
        <v>1</v>
      </c>
      <c r="K222" s="1">
        <f t="shared" si="2"/>
        <v>2</v>
      </c>
      <c r="L222" s="4">
        <f t="shared" si="3"/>
        <v>739.76</v>
      </c>
      <c r="M222" s="5" t="s">
        <v>41</v>
      </c>
      <c r="N222" s="1" t="s">
        <v>33</v>
      </c>
      <c r="Q222" s="1" t="s">
        <v>141</v>
      </c>
      <c r="R222" s="1" t="s">
        <v>65</v>
      </c>
    </row>
    <row r="223">
      <c r="A223" s="1">
        <v>7015138.0</v>
      </c>
      <c r="B223" s="1" t="s">
        <v>139</v>
      </c>
      <c r="C223" s="1">
        <v>6821938.0</v>
      </c>
      <c r="D223" s="1" t="s">
        <v>22</v>
      </c>
      <c r="E223" s="1" t="s">
        <v>23</v>
      </c>
      <c r="F223" s="1" t="s">
        <v>140</v>
      </c>
      <c r="G223" s="1">
        <v>3.1075133E7</v>
      </c>
      <c r="H223" s="1">
        <v>3734.63</v>
      </c>
      <c r="I223" s="3">
        <f>IFERROR(__xludf.DUMMYFUNCTION("IFERROR(VALUE(REGEXEXTRACT(F223, ""(\d+)[-\s]?Cores?"")))"),20.0)</f>
        <v>20</v>
      </c>
      <c r="J223" s="3">
        <f t="shared" si="1"/>
        <v>1</v>
      </c>
      <c r="K223" s="1">
        <f t="shared" si="2"/>
        <v>2</v>
      </c>
      <c r="L223" s="4">
        <f t="shared" si="3"/>
        <v>739.76</v>
      </c>
      <c r="M223" s="5" t="s">
        <v>41</v>
      </c>
      <c r="N223" s="1" t="s">
        <v>33</v>
      </c>
      <c r="Q223" s="1" t="s">
        <v>141</v>
      </c>
      <c r="R223" s="1" t="s">
        <v>65</v>
      </c>
    </row>
    <row r="224">
      <c r="A224" s="1">
        <v>7015138.0</v>
      </c>
      <c r="B224" s="1" t="s">
        <v>139</v>
      </c>
      <c r="C224" s="1">
        <v>6821938.0</v>
      </c>
      <c r="D224" s="1" t="s">
        <v>22</v>
      </c>
      <c r="E224" s="1" t="s">
        <v>23</v>
      </c>
      <c r="F224" s="1" t="s">
        <v>140</v>
      </c>
      <c r="G224" s="1">
        <v>3.1075134E7</v>
      </c>
      <c r="H224" s="1">
        <v>3734.63</v>
      </c>
      <c r="I224" s="3">
        <f>IFERROR(__xludf.DUMMYFUNCTION("IFERROR(VALUE(REGEXEXTRACT(F224, ""(\d+)[-\s]?Cores?"")))"),20.0)</f>
        <v>20</v>
      </c>
      <c r="J224" s="3">
        <f t="shared" si="1"/>
        <v>1</v>
      </c>
      <c r="K224" s="1">
        <f t="shared" si="2"/>
        <v>2</v>
      </c>
      <c r="L224" s="4">
        <f t="shared" si="3"/>
        <v>739.76</v>
      </c>
      <c r="M224" s="5" t="s">
        <v>41</v>
      </c>
      <c r="N224" s="1" t="s">
        <v>33</v>
      </c>
      <c r="Q224" s="1" t="s">
        <v>141</v>
      </c>
      <c r="R224" s="1" t="s">
        <v>65</v>
      </c>
    </row>
    <row r="225">
      <c r="A225" s="1">
        <v>7015138.0</v>
      </c>
      <c r="B225" s="1" t="s">
        <v>139</v>
      </c>
      <c r="C225" s="1">
        <v>6821995.0</v>
      </c>
      <c r="D225" s="1" t="s">
        <v>22</v>
      </c>
      <c r="E225" s="1" t="s">
        <v>23</v>
      </c>
      <c r="F225" s="1" t="s">
        <v>140</v>
      </c>
      <c r="G225" s="1">
        <v>3.1076291E7</v>
      </c>
      <c r="H225" s="1">
        <v>2975.09</v>
      </c>
      <c r="I225" s="3">
        <f>IFERROR(__xludf.DUMMYFUNCTION("IFERROR(VALUE(REGEXEXTRACT(F225, ""(\d+)[-\s]?Cores?"")))"),20.0)</f>
        <v>20</v>
      </c>
      <c r="J225" s="3">
        <f t="shared" si="1"/>
        <v>1</v>
      </c>
      <c r="K225" s="1">
        <f t="shared" si="2"/>
        <v>2</v>
      </c>
      <c r="L225" s="4">
        <f t="shared" si="3"/>
        <v>739.76</v>
      </c>
      <c r="M225" s="5" t="s">
        <v>41</v>
      </c>
      <c r="N225" s="1" t="s">
        <v>33</v>
      </c>
      <c r="Q225" s="1" t="s">
        <v>141</v>
      </c>
      <c r="R225" s="1" t="s">
        <v>65</v>
      </c>
    </row>
    <row r="226">
      <c r="A226" s="1">
        <v>7015138.0</v>
      </c>
      <c r="B226" s="1" t="s">
        <v>139</v>
      </c>
      <c r="C226" s="1">
        <v>6821995.0</v>
      </c>
      <c r="D226" s="1" t="s">
        <v>22</v>
      </c>
      <c r="E226" s="1" t="s">
        <v>23</v>
      </c>
      <c r="F226" s="1" t="s">
        <v>140</v>
      </c>
      <c r="G226" s="1">
        <v>3.1076292E7</v>
      </c>
      <c r="H226" s="1">
        <v>2975.09</v>
      </c>
      <c r="I226" s="3">
        <f>IFERROR(__xludf.DUMMYFUNCTION("IFERROR(VALUE(REGEXEXTRACT(F226, ""(\d+)[-\s]?Cores?"")))"),20.0)</f>
        <v>20</v>
      </c>
      <c r="J226" s="3">
        <f t="shared" si="1"/>
        <v>1</v>
      </c>
      <c r="K226" s="1">
        <f t="shared" si="2"/>
        <v>2</v>
      </c>
      <c r="L226" s="4">
        <f t="shared" si="3"/>
        <v>739.76</v>
      </c>
      <c r="M226" s="5" t="s">
        <v>41</v>
      </c>
      <c r="N226" s="1" t="s">
        <v>33</v>
      </c>
      <c r="Q226" s="1" t="s">
        <v>141</v>
      </c>
      <c r="R226" s="1" t="s">
        <v>65</v>
      </c>
    </row>
    <row r="227">
      <c r="A227" s="1">
        <v>7015138.0</v>
      </c>
      <c r="B227" s="1" t="s">
        <v>139</v>
      </c>
      <c r="C227" s="1">
        <v>6821996.0</v>
      </c>
      <c r="D227" s="1" t="s">
        <v>22</v>
      </c>
      <c r="E227" s="1" t="s">
        <v>23</v>
      </c>
      <c r="F227" s="1" t="s">
        <v>140</v>
      </c>
      <c r="G227" s="1">
        <v>3.107632E7</v>
      </c>
      <c r="H227" s="1">
        <v>2975.09</v>
      </c>
      <c r="I227" s="3">
        <f>IFERROR(__xludf.DUMMYFUNCTION("IFERROR(VALUE(REGEXEXTRACT(F227, ""(\d+)[-\s]?Cores?"")))"),20.0)</f>
        <v>20</v>
      </c>
      <c r="J227" s="3">
        <f t="shared" si="1"/>
        <v>1</v>
      </c>
      <c r="K227" s="1">
        <f t="shared" si="2"/>
        <v>2</v>
      </c>
      <c r="L227" s="4">
        <f t="shared" si="3"/>
        <v>739.76</v>
      </c>
      <c r="M227" s="5" t="s">
        <v>41</v>
      </c>
      <c r="N227" s="1" t="s">
        <v>33</v>
      </c>
      <c r="Q227" s="1" t="s">
        <v>141</v>
      </c>
      <c r="R227" s="1" t="s">
        <v>65</v>
      </c>
    </row>
    <row r="228">
      <c r="A228" s="1">
        <v>7015138.0</v>
      </c>
      <c r="B228" s="1" t="s">
        <v>139</v>
      </c>
      <c r="C228" s="1">
        <v>6821996.0</v>
      </c>
      <c r="D228" s="1" t="s">
        <v>22</v>
      </c>
      <c r="E228" s="1" t="s">
        <v>23</v>
      </c>
      <c r="F228" s="1" t="s">
        <v>140</v>
      </c>
      <c r="G228" s="1">
        <v>3.1076321E7</v>
      </c>
      <c r="H228" s="1">
        <v>2975.09</v>
      </c>
      <c r="I228" s="3">
        <f>IFERROR(__xludf.DUMMYFUNCTION("IFERROR(VALUE(REGEXEXTRACT(F228, ""(\d+)[-\s]?Cores?"")))"),20.0)</f>
        <v>20</v>
      </c>
      <c r="J228" s="3">
        <f t="shared" si="1"/>
        <v>1</v>
      </c>
      <c r="K228" s="1">
        <f t="shared" si="2"/>
        <v>2</v>
      </c>
      <c r="L228" s="4">
        <f t="shared" si="3"/>
        <v>739.76</v>
      </c>
      <c r="M228" s="5" t="s">
        <v>41</v>
      </c>
      <c r="N228" s="1" t="s">
        <v>33</v>
      </c>
      <c r="Q228" s="1" t="s">
        <v>141</v>
      </c>
      <c r="R228" s="1" t="s">
        <v>65</v>
      </c>
    </row>
    <row r="229">
      <c r="A229" s="1">
        <v>7014786.0</v>
      </c>
      <c r="B229" s="1" t="s">
        <v>142</v>
      </c>
      <c r="C229" s="1">
        <v>7580232.0</v>
      </c>
      <c r="D229" s="1" t="s">
        <v>22</v>
      </c>
      <c r="E229" s="1" t="s">
        <v>23</v>
      </c>
      <c r="F229" s="1" t="s">
        <v>140</v>
      </c>
      <c r="G229" s="1">
        <v>3.9699402E7</v>
      </c>
      <c r="H229" s="1">
        <v>3096.4</v>
      </c>
      <c r="I229" s="3">
        <f>IFERROR(__xludf.DUMMYFUNCTION("IFERROR(VALUE(REGEXEXTRACT(F229, ""(\d+)[-\s]?Cores?"")))"),20.0)</f>
        <v>20</v>
      </c>
      <c r="J229" s="3">
        <f t="shared" si="1"/>
        <v>1</v>
      </c>
      <c r="K229" s="1">
        <f t="shared" si="2"/>
        <v>2</v>
      </c>
      <c r="L229" s="4">
        <f t="shared" si="3"/>
        <v>739.76</v>
      </c>
      <c r="M229" s="5" t="s">
        <v>41</v>
      </c>
      <c r="N229" s="1" t="s">
        <v>33</v>
      </c>
      <c r="Q229" s="1" t="s">
        <v>143</v>
      </c>
      <c r="R229" s="1" t="s">
        <v>65</v>
      </c>
    </row>
    <row r="230">
      <c r="A230" s="1">
        <v>7014786.0</v>
      </c>
      <c r="B230" s="1" t="s">
        <v>142</v>
      </c>
      <c r="C230" s="1">
        <v>7580232.0</v>
      </c>
      <c r="D230" s="1" t="s">
        <v>22</v>
      </c>
      <c r="E230" s="1" t="s">
        <v>23</v>
      </c>
      <c r="F230" s="1" t="s">
        <v>140</v>
      </c>
      <c r="G230" s="1">
        <v>3.9699403E7</v>
      </c>
      <c r="H230" s="1">
        <v>3096.4</v>
      </c>
      <c r="I230" s="3">
        <f>IFERROR(__xludf.DUMMYFUNCTION("IFERROR(VALUE(REGEXEXTRACT(F230, ""(\d+)[-\s]?Cores?"")))"),20.0)</f>
        <v>20</v>
      </c>
      <c r="J230" s="3">
        <f t="shared" si="1"/>
        <v>1</v>
      </c>
      <c r="K230" s="1">
        <f t="shared" si="2"/>
        <v>2</v>
      </c>
      <c r="L230" s="4">
        <f t="shared" si="3"/>
        <v>739.76</v>
      </c>
      <c r="M230" s="5" t="s">
        <v>41</v>
      </c>
      <c r="N230" s="1" t="s">
        <v>33</v>
      </c>
      <c r="Q230" s="1" t="s">
        <v>143</v>
      </c>
      <c r="R230" s="1" t="s">
        <v>65</v>
      </c>
    </row>
    <row r="231">
      <c r="A231" s="1">
        <v>7014786.0</v>
      </c>
      <c r="B231" s="1" t="s">
        <v>142</v>
      </c>
      <c r="C231" s="1">
        <v>7580237.0</v>
      </c>
      <c r="D231" s="1" t="s">
        <v>22</v>
      </c>
      <c r="E231" s="1" t="s">
        <v>23</v>
      </c>
      <c r="F231" s="1" t="s">
        <v>140</v>
      </c>
      <c r="G231" s="1">
        <v>3.9699456E7</v>
      </c>
      <c r="H231" s="1">
        <v>4890.8</v>
      </c>
      <c r="I231" s="3">
        <f>IFERROR(__xludf.DUMMYFUNCTION("IFERROR(VALUE(REGEXEXTRACT(F231, ""(\d+)[-\s]?Cores?"")))"),20.0)</f>
        <v>20</v>
      </c>
      <c r="J231" s="3">
        <f t="shared" si="1"/>
        <v>1</v>
      </c>
      <c r="K231" s="1">
        <f t="shared" si="2"/>
        <v>2</v>
      </c>
      <c r="L231" s="4">
        <f t="shared" si="3"/>
        <v>739.76</v>
      </c>
      <c r="M231" s="5" t="s">
        <v>41</v>
      </c>
      <c r="N231" s="1" t="s">
        <v>33</v>
      </c>
      <c r="Q231" s="1" t="s">
        <v>143</v>
      </c>
      <c r="R231" s="1" t="s">
        <v>65</v>
      </c>
    </row>
    <row r="232">
      <c r="A232" s="1">
        <v>7014786.0</v>
      </c>
      <c r="B232" s="1" t="s">
        <v>142</v>
      </c>
      <c r="C232" s="1">
        <v>7580237.0</v>
      </c>
      <c r="D232" s="1" t="s">
        <v>22</v>
      </c>
      <c r="E232" s="1" t="s">
        <v>23</v>
      </c>
      <c r="F232" s="1" t="s">
        <v>140</v>
      </c>
      <c r="G232" s="1">
        <v>3.9699457E7</v>
      </c>
      <c r="H232" s="1">
        <v>4890.8</v>
      </c>
      <c r="I232" s="3">
        <f>IFERROR(__xludf.DUMMYFUNCTION("IFERROR(VALUE(REGEXEXTRACT(F232, ""(\d+)[-\s]?Cores?"")))"),20.0)</f>
        <v>20</v>
      </c>
      <c r="J232" s="3">
        <f t="shared" si="1"/>
        <v>1</v>
      </c>
      <c r="K232" s="1">
        <f t="shared" si="2"/>
        <v>2</v>
      </c>
      <c r="L232" s="4">
        <f t="shared" si="3"/>
        <v>739.76</v>
      </c>
      <c r="M232" s="5" t="s">
        <v>41</v>
      </c>
      <c r="N232" s="1" t="s">
        <v>33</v>
      </c>
      <c r="Q232" s="1" t="s">
        <v>143</v>
      </c>
      <c r="R232" s="1" t="s">
        <v>65</v>
      </c>
    </row>
    <row r="233">
      <c r="A233" s="1">
        <v>7014786.0</v>
      </c>
      <c r="B233" s="1" t="s">
        <v>142</v>
      </c>
      <c r="C233" s="1">
        <v>7580238.0</v>
      </c>
      <c r="D233" s="1" t="s">
        <v>22</v>
      </c>
      <c r="E233" s="1" t="s">
        <v>23</v>
      </c>
      <c r="F233" s="1" t="s">
        <v>140</v>
      </c>
      <c r="G233" s="1">
        <v>3.9699476E7</v>
      </c>
      <c r="H233" s="1">
        <v>4890.8</v>
      </c>
      <c r="I233" s="3">
        <f>IFERROR(__xludf.DUMMYFUNCTION("IFERROR(VALUE(REGEXEXTRACT(F233, ""(\d+)[-\s]?Cores?"")))"),20.0)</f>
        <v>20</v>
      </c>
      <c r="J233" s="3">
        <f t="shared" si="1"/>
        <v>1</v>
      </c>
      <c r="K233" s="1">
        <f t="shared" si="2"/>
        <v>2</v>
      </c>
      <c r="L233" s="4">
        <f t="shared" si="3"/>
        <v>739.76</v>
      </c>
      <c r="M233" s="5" t="s">
        <v>41</v>
      </c>
      <c r="N233" s="1" t="s">
        <v>33</v>
      </c>
      <c r="Q233" s="1" t="s">
        <v>143</v>
      </c>
      <c r="R233" s="1" t="s">
        <v>65</v>
      </c>
    </row>
    <row r="234">
      <c r="A234" s="1">
        <v>7014786.0</v>
      </c>
      <c r="B234" s="1" t="s">
        <v>142</v>
      </c>
      <c r="C234" s="1">
        <v>7580238.0</v>
      </c>
      <c r="D234" s="1" t="s">
        <v>22</v>
      </c>
      <c r="E234" s="1" t="s">
        <v>23</v>
      </c>
      <c r="F234" s="1" t="s">
        <v>140</v>
      </c>
      <c r="G234" s="1">
        <v>3.9699477E7</v>
      </c>
      <c r="H234" s="1">
        <v>4890.8</v>
      </c>
      <c r="I234" s="3">
        <f>IFERROR(__xludf.DUMMYFUNCTION("IFERROR(VALUE(REGEXEXTRACT(F234, ""(\d+)[-\s]?Cores?"")))"),20.0)</f>
        <v>20</v>
      </c>
      <c r="J234" s="3">
        <f t="shared" si="1"/>
        <v>1</v>
      </c>
      <c r="K234" s="1">
        <f t="shared" si="2"/>
        <v>2</v>
      </c>
      <c r="L234" s="4">
        <f t="shared" si="3"/>
        <v>739.76</v>
      </c>
      <c r="M234" s="5" t="s">
        <v>41</v>
      </c>
      <c r="N234" s="1" t="s">
        <v>33</v>
      </c>
      <c r="Q234" s="1" t="s">
        <v>143</v>
      </c>
      <c r="R234" s="1" t="s">
        <v>65</v>
      </c>
    </row>
  </sheetData>
  <autoFilter ref="$A$4:$AA$234">
    <filterColumn colId="4">
      <filters>
        <filter val="VMware ESXi 6.5"/>
        <filter val="VMware ESXi 8.0"/>
        <filter val="VMware ESXi 7.0"/>
      </filters>
    </filterColumn>
    <filterColumn colId="13">
      <filters>
        <filter val="Roland Gonzales"/>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64.5"/>
    <col customWidth="1" min="3" max="3" width="11.88"/>
    <col customWidth="1" min="4" max="4" width="35.25"/>
    <col customWidth="1" min="5" max="5" width="52.88"/>
    <col customWidth="1" min="6" max="6" width="71.5"/>
  </cols>
  <sheetData>
    <row r="1">
      <c r="A1" s="6" t="s">
        <v>144</v>
      </c>
      <c r="B1" s="6" t="s">
        <v>145</v>
      </c>
      <c r="C1" s="6" t="s">
        <v>146</v>
      </c>
      <c r="D1" s="6" t="s">
        <v>147</v>
      </c>
      <c r="E1" s="6" t="s">
        <v>148</v>
      </c>
      <c r="F1" s="6" t="s">
        <v>149</v>
      </c>
    </row>
    <row r="2">
      <c r="A2" s="3" t="s">
        <v>21</v>
      </c>
      <c r="B2" s="7" t="s">
        <v>150</v>
      </c>
      <c r="C2" s="8">
        <v>190.0</v>
      </c>
      <c r="D2" s="9" t="s">
        <v>151</v>
      </c>
      <c r="E2" s="10" t="s">
        <v>152</v>
      </c>
    </row>
    <row r="3">
      <c r="A3" s="3" t="s">
        <v>58</v>
      </c>
      <c r="B3" s="7" t="s">
        <v>153</v>
      </c>
      <c r="C3" s="1">
        <v>194.0</v>
      </c>
      <c r="E3" s="11" t="s">
        <v>154</v>
      </c>
    </row>
    <row r="4">
      <c r="A4" s="3" t="s">
        <v>61</v>
      </c>
      <c r="E4" s="11" t="s">
        <v>155</v>
      </c>
    </row>
    <row r="5">
      <c r="A5" s="3" t="s">
        <v>71</v>
      </c>
      <c r="E5" s="10" t="s">
        <v>156</v>
      </c>
    </row>
    <row r="6">
      <c r="A6" s="3" t="s">
        <v>85</v>
      </c>
      <c r="B6" s="7" t="s">
        <v>157</v>
      </c>
      <c r="C6" s="1">
        <v>200.0</v>
      </c>
      <c r="E6" s="11" t="s">
        <v>158</v>
      </c>
      <c r="F6" s="9" t="s">
        <v>159</v>
      </c>
    </row>
    <row r="7">
      <c r="A7" s="3" t="s">
        <v>93</v>
      </c>
      <c r="B7" s="7" t="s">
        <v>160</v>
      </c>
      <c r="C7" s="1">
        <v>202.0</v>
      </c>
      <c r="E7" s="11" t="s">
        <v>161</v>
      </c>
      <c r="F7" s="7" t="s">
        <v>162</v>
      </c>
    </row>
    <row r="8">
      <c r="A8" s="3" t="s">
        <v>102</v>
      </c>
      <c r="B8" s="7" t="s">
        <v>163</v>
      </c>
      <c r="E8" s="11" t="s">
        <v>164</v>
      </c>
      <c r="F8" s="7" t="s">
        <v>165</v>
      </c>
    </row>
    <row r="9">
      <c r="A9" s="3" t="s">
        <v>111</v>
      </c>
      <c r="B9" s="7" t="s">
        <v>166</v>
      </c>
      <c r="C9" s="1">
        <v>209.0</v>
      </c>
      <c r="E9" s="11" t="s">
        <v>167</v>
      </c>
    </row>
    <row r="10">
      <c r="A10" s="3" t="s">
        <v>113</v>
      </c>
      <c r="B10" s="7" t="s">
        <v>168</v>
      </c>
      <c r="C10" s="1">
        <v>210.0</v>
      </c>
      <c r="E10" s="10" t="s">
        <v>169</v>
      </c>
    </row>
    <row r="11">
      <c r="A11" s="12" t="s">
        <v>27</v>
      </c>
      <c r="B11" s="7" t="s">
        <v>170</v>
      </c>
      <c r="C11" s="1">
        <v>191.0</v>
      </c>
      <c r="E11" s="13" t="s">
        <v>171</v>
      </c>
      <c r="F11" s="7" t="s">
        <v>172</v>
      </c>
    </row>
    <row r="12">
      <c r="A12" s="3" t="s">
        <v>32</v>
      </c>
      <c r="E12" s="14" t="s">
        <v>173</v>
      </c>
    </row>
    <row r="13">
      <c r="A13" s="3" t="s">
        <v>35</v>
      </c>
      <c r="B13" s="7" t="s">
        <v>174</v>
      </c>
      <c r="C13" s="8">
        <v>192.0</v>
      </c>
      <c r="D13" s="9" t="s">
        <v>175</v>
      </c>
      <c r="E13" s="13" t="s">
        <v>176</v>
      </c>
      <c r="F13" s="7" t="s">
        <v>177</v>
      </c>
    </row>
    <row r="14">
      <c r="A14" s="12" t="s">
        <v>37</v>
      </c>
      <c r="B14" s="9" t="s">
        <v>178</v>
      </c>
      <c r="E14" s="13" t="s">
        <v>179</v>
      </c>
    </row>
    <row r="15">
      <c r="A15" s="3" t="s">
        <v>46</v>
      </c>
      <c r="E15" s="14" t="s">
        <v>180</v>
      </c>
    </row>
    <row r="16">
      <c r="A16" s="3" t="s">
        <v>52</v>
      </c>
      <c r="E16" s="14" t="s">
        <v>181</v>
      </c>
    </row>
    <row r="17">
      <c r="A17" s="12" t="s">
        <v>57</v>
      </c>
      <c r="B17" s="7" t="s">
        <v>182</v>
      </c>
      <c r="C17" s="8">
        <v>193.0</v>
      </c>
      <c r="D17" s="9" t="s">
        <v>183</v>
      </c>
      <c r="E17" s="13" t="s">
        <v>184</v>
      </c>
      <c r="F17" s="9" t="s">
        <v>185</v>
      </c>
    </row>
    <row r="18">
      <c r="A18" s="3" t="s">
        <v>62</v>
      </c>
      <c r="B18" s="1" t="s">
        <v>186</v>
      </c>
      <c r="C18" s="1">
        <v>195.0</v>
      </c>
      <c r="E18" s="14" t="s">
        <v>187</v>
      </c>
    </row>
    <row r="19">
      <c r="A19" s="3" t="s">
        <v>66</v>
      </c>
      <c r="B19" s="7" t="s">
        <v>188</v>
      </c>
      <c r="C19" s="1">
        <v>196.0</v>
      </c>
      <c r="E19" s="13" t="s">
        <v>189</v>
      </c>
      <c r="F19" s="7" t="s">
        <v>190</v>
      </c>
    </row>
    <row r="20">
      <c r="A20" s="3" t="s">
        <v>67</v>
      </c>
      <c r="B20" s="7" t="s">
        <v>191</v>
      </c>
      <c r="C20" s="1">
        <v>197.0</v>
      </c>
      <c r="E20" s="15" t="s">
        <v>192</v>
      </c>
    </row>
    <row r="21">
      <c r="A21" s="3" t="s">
        <v>75</v>
      </c>
      <c r="B21" s="7" t="s">
        <v>193</v>
      </c>
      <c r="C21" s="1">
        <v>151.0</v>
      </c>
      <c r="E21" s="15" t="s">
        <v>194</v>
      </c>
    </row>
    <row r="22">
      <c r="A22" s="3" t="s">
        <v>77</v>
      </c>
      <c r="B22" s="7" t="s">
        <v>195</v>
      </c>
      <c r="C22" s="8">
        <v>198.0</v>
      </c>
      <c r="D22" s="9" t="s">
        <v>196</v>
      </c>
      <c r="E22" s="15" t="s">
        <v>197</v>
      </c>
    </row>
    <row r="23">
      <c r="A23" s="3" t="s">
        <v>82</v>
      </c>
      <c r="B23" s="7" t="s">
        <v>198</v>
      </c>
      <c r="C23" s="1">
        <v>199.0</v>
      </c>
      <c r="E23" s="13" t="s">
        <v>199</v>
      </c>
      <c r="F23" s="1" t="s">
        <v>200</v>
      </c>
    </row>
    <row r="24">
      <c r="A24" s="3" t="s">
        <v>87</v>
      </c>
      <c r="B24" s="7" t="s">
        <v>201</v>
      </c>
      <c r="E24" s="13" t="s">
        <v>202</v>
      </c>
    </row>
    <row r="25">
      <c r="A25" s="3" t="s">
        <v>92</v>
      </c>
      <c r="B25" s="7" t="s">
        <v>203</v>
      </c>
      <c r="C25" s="16">
        <v>201.0</v>
      </c>
      <c r="D25" s="17" t="s">
        <v>204</v>
      </c>
      <c r="E25" s="13" t="s">
        <v>205</v>
      </c>
      <c r="F25" s="7" t="s">
        <v>206</v>
      </c>
    </row>
    <row r="26">
      <c r="A26" s="3" t="s">
        <v>95</v>
      </c>
      <c r="B26" s="7" t="s">
        <v>207</v>
      </c>
      <c r="C26" s="1">
        <v>203.0</v>
      </c>
      <c r="E26" s="13" t="s">
        <v>208</v>
      </c>
      <c r="F26" s="1" t="s">
        <v>209</v>
      </c>
    </row>
    <row r="27">
      <c r="A27" s="3" t="s">
        <v>98</v>
      </c>
      <c r="B27" s="7" t="s">
        <v>210</v>
      </c>
      <c r="C27" s="1">
        <v>204.0</v>
      </c>
      <c r="E27" s="14" t="s">
        <v>181</v>
      </c>
    </row>
    <row r="28">
      <c r="A28" s="3" t="s">
        <v>103</v>
      </c>
      <c r="B28" s="7" t="s">
        <v>211</v>
      </c>
      <c r="C28" s="1">
        <v>205.0</v>
      </c>
      <c r="E28" s="13" t="s">
        <v>212</v>
      </c>
      <c r="F28" s="7" t="s">
        <v>213</v>
      </c>
    </row>
    <row r="29">
      <c r="A29" s="3" t="s">
        <v>104</v>
      </c>
      <c r="B29" s="7" t="s">
        <v>214</v>
      </c>
      <c r="E29" s="13" t="s">
        <v>215</v>
      </c>
      <c r="F29" s="9" t="s">
        <v>216</v>
      </c>
    </row>
    <row r="30">
      <c r="A30" s="3" t="s">
        <v>107</v>
      </c>
      <c r="B30" s="7" t="s">
        <v>217</v>
      </c>
      <c r="C30" s="1">
        <v>206.0</v>
      </c>
      <c r="E30" s="13" t="s">
        <v>218</v>
      </c>
      <c r="F30" s="7" t="s">
        <v>219</v>
      </c>
    </row>
    <row r="31">
      <c r="A31" s="3" t="s">
        <v>108</v>
      </c>
      <c r="B31" s="7" t="s">
        <v>220</v>
      </c>
      <c r="C31" s="1">
        <v>207.0</v>
      </c>
      <c r="E31" s="13" t="s">
        <v>221</v>
      </c>
      <c r="F31" s="7" t="s">
        <v>222</v>
      </c>
    </row>
    <row r="32">
      <c r="A32" s="3" t="s">
        <v>110</v>
      </c>
      <c r="B32" s="7" t="s">
        <v>223</v>
      </c>
      <c r="C32" s="1">
        <v>208.0</v>
      </c>
      <c r="E32" s="13" t="s">
        <v>218</v>
      </c>
      <c r="F32" s="7" t="s">
        <v>224</v>
      </c>
    </row>
    <row r="33">
      <c r="A33" s="3" t="s">
        <v>114</v>
      </c>
      <c r="B33" s="7" t="s">
        <v>225</v>
      </c>
      <c r="C33" s="1">
        <v>211.0</v>
      </c>
      <c r="E33" s="15" t="s">
        <v>192</v>
      </c>
    </row>
    <row r="34">
      <c r="A34" s="3" t="s">
        <v>116</v>
      </c>
      <c r="B34" s="7" t="s">
        <v>226</v>
      </c>
      <c r="C34" s="1">
        <v>164.0</v>
      </c>
      <c r="E34" s="15" t="s">
        <v>155</v>
      </c>
    </row>
    <row r="35">
      <c r="A35" s="3" t="s">
        <v>118</v>
      </c>
      <c r="B35" s="9" t="s">
        <v>227</v>
      </c>
      <c r="E35" s="13" t="s">
        <v>228</v>
      </c>
    </row>
    <row r="36">
      <c r="A36" s="3" t="s">
        <v>121</v>
      </c>
      <c r="B36" s="7" t="s">
        <v>229</v>
      </c>
      <c r="E36" s="13" t="s">
        <v>230</v>
      </c>
    </row>
    <row r="37">
      <c r="A37" s="3" t="s">
        <v>124</v>
      </c>
      <c r="B37" s="7" t="s">
        <v>231</v>
      </c>
      <c r="C37" s="1">
        <v>212.0</v>
      </c>
      <c r="E37" s="13" t="s">
        <v>232</v>
      </c>
      <c r="F37" s="7" t="s">
        <v>233</v>
      </c>
    </row>
    <row r="38">
      <c r="A38" s="3" t="s">
        <v>129</v>
      </c>
      <c r="B38" s="7" t="s">
        <v>234</v>
      </c>
      <c r="C38" s="1">
        <v>213.0</v>
      </c>
      <c r="E38" s="13" t="s">
        <v>235</v>
      </c>
    </row>
    <row r="39">
      <c r="A39" s="3" t="s">
        <v>132</v>
      </c>
      <c r="B39" s="7" t="s">
        <v>236</v>
      </c>
      <c r="C39" s="1">
        <v>214.0</v>
      </c>
      <c r="E39" s="13" t="s">
        <v>237</v>
      </c>
      <c r="F39" s="7" t="s">
        <v>238</v>
      </c>
    </row>
    <row r="40">
      <c r="A40" s="3" t="s">
        <v>133</v>
      </c>
      <c r="B40" s="7" t="s">
        <v>239</v>
      </c>
      <c r="C40" s="1">
        <v>215.0</v>
      </c>
      <c r="E40" s="15" t="s">
        <v>240</v>
      </c>
    </row>
    <row r="41">
      <c r="A41" s="3" t="s">
        <v>134</v>
      </c>
      <c r="E41" s="13" t="s">
        <v>241</v>
      </c>
    </row>
    <row r="42">
      <c r="A42" s="3" t="s">
        <v>139</v>
      </c>
      <c r="B42" s="7" t="s">
        <v>242</v>
      </c>
      <c r="C42" s="1">
        <v>216.0</v>
      </c>
      <c r="E42" s="18" t="s">
        <v>243</v>
      </c>
    </row>
    <row r="43">
      <c r="A43" s="3" t="s">
        <v>142</v>
      </c>
      <c r="B43" s="7" t="s">
        <v>244</v>
      </c>
      <c r="C43" s="1">
        <v>217.0</v>
      </c>
      <c r="E43" s="13" t="s">
        <v>245</v>
      </c>
      <c r="F43" s="7" t="s">
        <v>246</v>
      </c>
    </row>
  </sheetData>
  <hyperlinks>
    <hyperlink r:id="rId1" ref="B2"/>
    <hyperlink r:id="rId2" ref="D2"/>
    <hyperlink r:id="rId3" ref="B3"/>
    <hyperlink r:id="rId4" ref="B6"/>
    <hyperlink r:id="rId5" ref="F6"/>
    <hyperlink r:id="rId6" ref="B7"/>
    <hyperlink r:id="rId7" ref="F7"/>
    <hyperlink r:id="rId8" ref="B8"/>
    <hyperlink r:id="rId9" ref="F8"/>
    <hyperlink r:id="rId10" ref="B9"/>
    <hyperlink r:id="rId11" ref="B10"/>
    <hyperlink r:id="rId12" ref="B11"/>
    <hyperlink r:id="rId13" ref="F11"/>
    <hyperlink r:id="rId14" ref="B13"/>
    <hyperlink r:id="rId15" ref="D13"/>
    <hyperlink r:id="rId16" ref="F13"/>
    <hyperlink r:id="rId17" ref="B14"/>
    <hyperlink r:id="rId18" ref="B17"/>
    <hyperlink r:id="rId19" ref="D17"/>
    <hyperlink r:id="rId20" ref="F17"/>
    <hyperlink r:id="rId21" ref="B19"/>
    <hyperlink r:id="rId22" ref="F19"/>
    <hyperlink r:id="rId23" ref="B20"/>
    <hyperlink r:id="rId24" ref="B21"/>
    <hyperlink r:id="rId25" ref="B22"/>
    <hyperlink r:id="rId26" ref="D22"/>
    <hyperlink r:id="rId27" ref="B23"/>
    <hyperlink r:id="rId28" ref="B24"/>
    <hyperlink r:id="rId29" ref="B25"/>
    <hyperlink r:id="rId30" ref="D25"/>
    <hyperlink r:id="rId31" ref="F25"/>
    <hyperlink r:id="rId32" ref="B26"/>
    <hyperlink r:id="rId33" ref="B27"/>
    <hyperlink r:id="rId34" ref="B28"/>
    <hyperlink r:id="rId35" ref="F28"/>
    <hyperlink r:id="rId36" ref="B29"/>
    <hyperlink r:id="rId37" ref="F29"/>
    <hyperlink r:id="rId38" ref="B30"/>
    <hyperlink r:id="rId39" ref="F30"/>
    <hyperlink r:id="rId40" ref="B31"/>
    <hyperlink r:id="rId41" ref="F31"/>
    <hyperlink r:id="rId42" ref="B32"/>
    <hyperlink r:id="rId43" ref="F32"/>
    <hyperlink r:id="rId44" ref="B33"/>
    <hyperlink r:id="rId45" ref="B34"/>
    <hyperlink r:id="rId46" ref="B35"/>
    <hyperlink r:id="rId47" ref="B36"/>
    <hyperlink r:id="rId48" ref="B37"/>
    <hyperlink r:id="rId49" ref="F37"/>
    <hyperlink r:id="rId50" ref="B38"/>
    <hyperlink r:id="rId51" ref="B39"/>
    <hyperlink r:id="rId52" ref="F39"/>
    <hyperlink r:id="rId53" ref="B40"/>
    <hyperlink r:id="rId54" ref="B42"/>
    <hyperlink r:id="rId55" ref="B43"/>
    <hyperlink r:id="rId56" ref="F43"/>
  </hyperlinks>
  <drawing r:id="rId5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0"/>
    <col customWidth="1" min="3" max="3" width="18.5"/>
    <col customWidth="1" min="13" max="13" width="18.25"/>
  </cols>
  <sheetData>
    <row r="1">
      <c r="A1" s="19" t="s">
        <v>247</v>
      </c>
      <c r="B1" s="19" t="s">
        <v>248</v>
      </c>
      <c r="C1" s="19" t="s">
        <v>249</v>
      </c>
      <c r="D1" s="19" t="s">
        <v>250</v>
      </c>
      <c r="E1" s="19" t="s">
        <v>251</v>
      </c>
      <c r="F1" s="19" t="s">
        <v>252</v>
      </c>
      <c r="G1" s="19" t="s">
        <v>253</v>
      </c>
      <c r="H1" s="19" t="s">
        <v>254</v>
      </c>
      <c r="I1" s="19" t="s">
        <v>255</v>
      </c>
      <c r="J1" s="19" t="s">
        <v>256</v>
      </c>
      <c r="K1" s="19" t="s">
        <v>257</v>
      </c>
      <c r="L1" s="19" t="s">
        <v>258</v>
      </c>
      <c r="M1" s="19" t="s">
        <v>259</v>
      </c>
      <c r="N1" s="19" t="s">
        <v>260</v>
      </c>
      <c r="O1" s="19" t="s">
        <v>261</v>
      </c>
      <c r="P1" s="19" t="s">
        <v>262</v>
      </c>
      <c r="Q1" s="19" t="s">
        <v>263</v>
      </c>
      <c r="R1" s="19" t="s">
        <v>96</v>
      </c>
      <c r="S1" s="19" t="s">
        <v>264</v>
      </c>
      <c r="T1" s="20" t="s">
        <v>265</v>
      </c>
    </row>
    <row r="2">
      <c r="A2" s="21">
        <v>7014933.0</v>
      </c>
      <c r="B2" s="19" t="s">
        <v>108</v>
      </c>
      <c r="C2" s="19" t="s">
        <v>30</v>
      </c>
      <c r="D2" s="19" t="s">
        <v>266</v>
      </c>
      <c r="E2" s="22">
        <v>2083.88</v>
      </c>
      <c r="F2" s="21">
        <v>2328.844</v>
      </c>
      <c r="G2" s="21">
        <v>1.0</v>
      </c>
      <c r="H2" s="21">
        <v>64.0</v>
      </c>
      <c r="I2" s="21">
        <v>16.0</v>
      </c>
      <c r="J2" s="21">
        <v>294.4</v>
      </c>
      <c r="K2" s="21">
        <v>539.36</v>
      </c>
      <c r="L2" s="21">
        <v>1794.4245</v>
      </c>
      <c r="M2" s="21">
        <v>2039.3845</v>
      </c>
      <c r="N2" s="21">
        <v>0.136511734</v>
      </c>
      <c r="O2" s="21">
        <v>0.117549729</v>
      </c>
      <c r="P2" s="19" t="s">
        <v>267</v>
      </c>
      <c r="Q2" s="19" t="s">
        <v>268</v>
      </c>
      <c r="R2" s="19" t="s">
        <v>269</v>
      </c>
      <c r="S2" s="19" t="s">
        <v>268</v>
      </c>
      <c r="T2" s="23">
        <v>45791.0</v>
      </c>
    </row>
    <row r="3">
      <c r="A3" s="21">
        <v>7012926.0</v>
      </c>
      <c r="B3" s="19" t="s">
        <v>27</v>
      </c>
      <c r="C3" s="19" t="s">
        <v>30</v>
      </c>
      <c r="D3" s="19" t="s">
        <v>266</v>
      </c>
      <c r="E3" s="22">
        <v>2789.61</v>
      </c>
      <c r="F3" s="21">
        <v>4961.7655</v>
      </c>
      <c r="G3" s="21">
        <v>2.0</v>
      </c>
      <c r="H3" s="21">
        <v>128.0</v>
      </c>
      <c r="I3" s="21">
        <v>64.0</v>
      </c>
      <c r="J3" s="21">
        <v>588.8</v>
      </c>
      <c r="K3" s="21">
        <v>2760.96</v>
      </c>
      <c r="L3" s="21">
        <v>2488.893</v>
      </c>
      <c r="M3" s="21">
        <v>4661.053</v>
      </c>
      <c r="N3" s="21">
        <v>0.872741416</v>
      </c>
      <c r="O3" s="21">
        <v>0.778662072</v>
      </c>
      <c r="P3" s="19" t="s">
        <v>267</v>
      </c>
      <c r="Q3" s="19" t="s">
        <v>268</v>
      </c>
      <c r="R3" s="19" t="s">
        <v>268</v>
      </c>
      <c r="S3" s="19" t="s">
        <v>268</v>
      </c>
      <c r="T3" s="23">
        <v>45797.0</v>
      </c>
    </row>
    <row r="4">
      <c r="A4" s="21">
        <v>7007654.0</v>
      </c>
      <c r="B4" s="19" t="s">
        <v>21</v>
      </c>
      <c r="C4" s="19" t="s">
        <v>25</v>
      </c>
      <c r="D4" s="19" t="s">
        <v>266</v>
      </c>
      <c r="E4" s="22">
        <v>3390.67</v>
      </c>
      <c r="F4" s="21">
        <v>5169.23</v>
      </c>
      <c r="G4" s="21">
        <v>2.0</v>
      </c>
      <c r="H4" s="21">
        <v>128.0</v>
      </c>
      <c r="I4" s="21">
        <v>64.0</v>
      </c>
      <c r="J4" s="21">
        <v>588.8</v>
      </c>
      <c r="K4" s="21">
        <v>2367.36</v>
      </c>
      <c r="L4" s="21">
        <v>1852.0</v>
      </c>
      <c r="M4" s="21">
        <v>3630.56</v>
      </c>
      <c r="N4" s="21">
        <v>0.960345572</v>
      </c>
      <c r="O4" s="21">
        <v>0.524545296</v>
      </c>
      <c r="P4" s="19" t="s">
        <v>267</v>
      </c>
      <c r="Q4" s="19" t="s">
        <v>268</v>
      </c>
      <c r="R4" s="19" t="s">
        <v>269</v>
      </c>
      <c r="S4" s="19" t="s">
        <v>268</v>
      </c>
      <c r="T4" s="23">
        <v>45791.0</v>
      </c>
    </row>
    <row r="5">
      <c r="A5" s="21">
        <v>7014318.0</v>
      </c>
      <c r="B5" s="19" t="s">
        <v>61</v>
      </c>
      <c r="C5" s="19" t="s">
        <v>30</v>
      </c>
      <c r="D5" s="19" t="s">
        <v>266</v>
      </c>
      <c r="E5" s="22">
        <v>3183.86</v>
      </c>
      <c r="F5" s="21">
        <v>3673.7765</v>
      </c>
      <c r="G5" s="21">
        <v>1.0</v>
      </c>
      <c r="H5" s="21">
        <v>128.0</v>
      </c>
      <c r="I5" s="21">
        <v>32.0</v>
      </c>
      <c r="J5" s="21">
        <v>588.8</v>
      </c>
      <c r="K5" s="21">
        <v>1078.72</v>
      </c>
      <c r="L5" s="21">
        <v>1878.426</v>
      </c>
      <c r="M5" s="21">
        <v>2368.346</v>
      </c>
      <c r="N5" s="21">
        <v>0.260814107</v>
      </c>
      <c r="O5" s="21">
        <v>0.153876282</v>
      </c>
      <c r="P5" s="19" t="s">
        <v>267</v>
      </c>
      <c r="Q5" s="19" t="s">
        <v>268</v>
      </c>
      <c r="R5" s="19" t="s">
        <v>269</v>
      </c>
      <c r="S5" s="19" t="s">
        <v>268</v>
      </c>
      <c r="T5" s="23">
        <v>45791.0</v>
      </c>
    </row>
    <row r="6">
      <c r="A6" s="21">
        <v>7014317.0</v>
      </c>
      <c r="B6" s="19" t="s">
        <v>113</v>
      </c>
      <c r="C6" s="19" t="s">
        <v>99</v>
      </c>
      <c r="D6" s="19" t="s">
        <v>266</v>
      </c>
      <c r="E6" s="22">
        <v>3086.46</v>
      </c>
      <c r="F6" s="21">
        <v>3576.3845</v>
      </c>
      <c r="G6" s="21">
        <v>1.0</v>
      </c>
      <c r="H6" s="21">
        <v>128.0</v>
      </c>
      <c r="I6" s="21">
        <v>32.0</v>
      </c>
      <c r="J6" s="21">
        <v>588.8</v>
      </c>
      <c r="K6" s="21">
        <v>1078.72</v>
      </c>
      <c r="L6" s="21">
        <v>1707.454</v>
      </c>
      <c r="M6" s="21">
        <v>2197.374</v>
      </c>
      <c r="N6" s="21">
        <v>0.286930131</v>
      </c>
      <c r="O6" s="21">
        <v>0.158731779</v>
      </c>
      <c r="P6" s="19" t="s">
        <v>267</v>
      </c>
      <c r="Q6" s="19" t="s">
        <v>268</v>
      </c>
      <c r="R6" s="19" t="s">
        <v>269</v>
      </c>
      <c r="S6" s="19" t="s">
        <v>268</v>
      </c>
      <c r="T6" s="23">
        <v>45791.0</v>
      </c>
    </row>
    <row r="7">
      <c r="A7" s="21">
        <v>5960514.0</v>
      </c>
      <c r="B7" s="19" t="s">
        <v>58</v>
      </c>
      <c r="C7" s="19" t="s">
        <v>59</v>
      </c>
      <c r="D7" s="19" t="s">
        <v>266</v>
      </c>
      <c r="E7" s="22">
        <v>2054.86</v>
      </c>
      <c r="F7" s="21">
        <v>2944.1433</v>
      </c>
      <c r="G7" s="21">
        <v>2.0</v>
      </c>
      <c r="H7" s="21">
        <v>64.0</v>
      </c>
      <c r="I7" s="21">
        <v>32.0</v>
      </c>
      <c r="J7" s="21">
        <v>294.4</v>
      </c>
      <c r="K7" s="21">
        <v>1183.68</v>
      </c>
      <c r="L7" s="21">
        <v>1165.7982</v>
      </c>
      <c r="M7" s="21">
        <v>2055.0782</v>
      </c>
      <c r="N7" s="21">
        <v>0.762807834</v>
      </c>
      <c r="O7" s="21">
        <v>0.432768447</v>
      </c>
      <c r="P7" s="19" t="s">
        <v>267</v>
      </c>
      <c r="Q7" s="19" t="s">
        <v>268</v>
      </c>
      <c r="R7" s="19" t="s">
        <v>269</v>
      </c>
      <c r="S7" s="19" t="s">
        <v>268</v>
      </c>
      <c r="T7" s="23">
        <v>45791.0</v>
      </c>
    </row>
    <row r="8">
      <c r="A8" s="21">
        <v>7002729.0</v>
      </c>
      <c r="B8" s="24" t="s">
        <v>270</v>
      </c>
      <c r="C8" s="19" t="s">
        <v>59</v>
      </c>
      <c r="D8" s="19" t="s">
        <v>266</v>
      </c>
      <c r="E8" s="22">
        <v>4406.99</v>
      </c>
      <c r="F8" s="21">
        <v>5149.0749</v>
      </c>
      <c r="G8" s="21">
        <v>1.0</v>
      </c>
      <c r="H8" s="21">
        <v>96.0</v>
      </c>
      <c r="I8" s="21">
        <v>32.0</v>
      </c>
      <c r="J8" s="21">
        <v>441.6</v>
      </c>
      <c r="K8" s="21">
        <v>1183.68</v>
      </c>
      <c r="L8" s="21">
        <v>2582.86</v>
      </c>
      <c r="M8" s="21">
        <v>3324.94</v>
      </c>
      <c r="N8" s="21">
        <v>0.287309417</v>
      </c>
      <c r="O8" s="21">
        <v>0.168386852</v>
      </c>
      <c r="P8" s="19" t="s">
        <v>267</v>
      </c>
      <c r="Q8" s="19" t="s">
        <v>268</v>
      </c>
      <c r="R8" s="19" t="s">
        <v>269</v>
      </c>
      <c r="S8" s="19" t="s">
        <v>268</v>
      </c>
      <c r="T8" s="23">
        <v>45791.0</v>
      </c>
    </row>
    <row r="9">
      <c r="A9" s="21">
        <v>1000343.0</v>
      </c>
      <c r="B9" s="19" t="s">
        <v>35</v>
      </c>
      <c r="C9" s="19" t="s">
        <v>33</v>
      </c>
      <c r="D9" s="19" t="s">
        <v>266</v>
      </c>
      <c r="E9" s="22">
        <v>4903.96</v>
      </c>
      <c r="F9" s="21">
        <v>6388.12</v>
      </c>
      <c r="G9" s="21">
        <v>2.0</v>
      </c>
      <c r="H9" s="21">
        <v>192.0</v>
      </c>
      <c r="I9" s="21">
        <v>64.0</v>
      </c>
      <c r="J9" s="21">
        <v>883.2</v>
      </c>
      <c r="K9" s="21">
        <v>2367.36</v>
      </c>
      <c r="L9" s="21">
        <v>1851.1</v>
      </c>
      <c r="M9" s="21">
        <v>3335.26</v>
      </c>
      <c r="N9" s="21">
        <v>0.801771919</v>
      </c>
      <c r="O9" s="21">
        <v>0.302645209</v>
      </c>
      <c r="P9" s="19" t="s">
        <v>267</v>
      </c>
      <c r="Q9" s="19" t="s">
        <v>268</v>
      </c>
      <c r="R9" s="19" t="s">
        <v>269</v>
      </c>
      <c r="S9" s="19" t="s">
        <v>268</v>
      </c>
      <c r="T9" s="23">
        <v>45791.0</v>
      </c>
    </row>
    <row r="10">
      <c r="A10" s="21">
        <v>7010154.0</v>
      </c>
      <c r="B10" s="19" t="s">
        <v>271</v>
      </c>
      <c r="C10" s="19" t="s">
        <v>30</v>
      </c>
      <c r="D10" s="19" t="s">
        <v>266</v>
      </c>
      <c r="E10" s="22">
        <v>4714.05</v>
      </c>
      <c r="F10" s="21">
        <v>5652.93</v>
      </c>
      <c r="G10" s="21">
        <v>1.0</v>
      </c>
      <c r="H10" s="21">
        <v>96.0</v>
      </c>
      <c r="I10" s="21">
        <v>32.0</v>
      </c>
      <c r="J10" s="21">
        <v>441.6</v>
      </c>
      <c r="K10" s="21">
        <v>1380.48</v>
      </c>
      <c r="L10" s="21">
        <v>3163.05</v>
      </c>
      <c r="M10" s="21">
        <v>4101.93</v>
      </c>
      <c r="N10" s="21">
        <v>0.296827429</v>
      </c>
      <c r="O10" s="21">
        <v>0.199166322</v>
      </c>
      <c r="P10" s="19" t="s">
        <v>272</v>
      </c>
      <c r="Q10" s="19" t="s">
        <v>268</v>
      </c>
      <c r="R10" s="19" t="s">
        <v>268</v>
      </c>
      <c r="S10" s="19" t="s">
        <v>268</v>
      </c>
      <c r="T10" s="23">
        <v>45797.0</v>
      </c>
    </row>
    <row r="11">
      <c r="A11" s="21">
        <v>5573207.0</v>
      </c>
      <c r="B11" s="19" t="s">
        <v>110</v>
      </c>
      <c r="C11" s="19" t="s">
        <v>59</v>
      </c>
      <c r="D11" s="19" t="s">
        <v>266</v>
      </c>
      <c r="E11" s="22">
        <v>5492.71</v>
      </c>
      <c r="F11" s="21">
        <v>7664.8738</v>
      </c>
      <c r="G11" s="21">
        <v>2.0</v>
      </c>
      <c r="H11" s="21">
        <v>128.0</v>
      </c>
      <c r="I11" s="21">
        <v>64.0</v>
      </c>
      <c r="J11" s="21">
        <v>588.8</v>
      </c>
      <c r="K11" s="21">
        <v>2760.96</v>
      </c>
      <c r="L11" s="21">
        <v>2209.9546</v>
      </c>
      <c r="M11" s="21">
        <v>4382.1146</v>
      </c>
      <c r="N11" s="21">
        <v>0.98289802</v>
      </c>
      <c r="O11" s="21">
        <v>0.395462076</v>
      </c>
      <c r="P11" s="19" t="s">
        <v>272</v>
      </c>
      <c r="Q11" s="19" t="s">
        <v>268</v>
      </c>
      <c r="R11" s="19" t="s">
        <v>268</v>
      </c>
      <c r="S11" s="19" t="s">
        <v>268</v>
      </c>
      <c r="T11" s="23">
        <v>45797.0</v>
      </c>
    </row>
    <row r="12">
      <c r="A12" s="21">
        <v>7003351.0</v>
      </c>
      <c r="B12" s="19" t="s">
        <v>37</v>
      </c>
      <c r="C12" s="19" t="s">
        <v>42</v>
      </c>
      <c r="D12" s="19" t="s">
        <v>266</v>
      </c>
      <c r="E12" s="22">
        <v>1975.52</v>
      </c>
      <c r="F12" s="21">
        <v>2178.3955</v>
      </c>
      <c r="G12" s="21">
        <v>2.0</v>
      </c>
      <c r="H12" s="21">
        <v>256.0</v>
      </c>
      <c r="I12" s="21">
        <v>32.0</v>
      </c>
      <c r="J12" s="21">
        <v>1177.6</v>
      </c>
      <c r="K12" s="21">
        <v>1380.48</v>
      </c>
      <c r="L12" s="21">
        <v>3115.658</v>
      </c>
      <c r="M12" s="21">
        <v>3318.538</v>
      </c>
      <c r="N12" s="21">
        <v>0.065116261</v>
      </c>
      <c r="O12" s="21">
        <v>0.102697245</v>
      </c>
      <c r="P12" s="19" t="s">
        <v>267</v>
      </c>
      <c r="Q12" s="19" t="s">
        <v>268</v>
      </c>
      <c r="R12" s="19" t="s">
        <v>268</v>
      </c>
      <c r="S12" s="19" t="s">
        <v>268</v>
      </c>
      <c r="T12" s="23">
        <v>45797.0</v>
      </c>
    </row>
    <row r="13">
      <c r="A13" s="21">
        <v>7000559.0</v>
      </c>
      <c r="B13" s="19" t="s">
        <v>134</v>
      </c>
      <c r="C13" s="19" t="s">
        <v>25</v>
      </c>
      <c r="D13" s="19" t="s">
        <v>266</v>
      </c>
      <c r="E13" s="22">
        <v>3022.68</v>
      </c>
      <c r="F13" s="21">
        <v>3512.5977</v>
      </c>
      <c r="G13" s="21">
        <v>2.0</v>
      </c>
      <c r="H13" s="21">
        <v>128.0</v>
      </c>
      <c r="I13" s="21">
        <v>32.0</v>
      </c>
      <c r="J13" s="21">
        <v>588.8</v>
      </c>
      <c r="K13" s="21">
        <v>1078.72</v>
      </c>
      <c r="L13" s="21">
        <v>1589.084</v>
      </c>
      <c r="M13" s="21">
        <v>2079.004</v>
      </c>
      <c r="N13" s="21">
        <v>0.3083034</v>
      </c>
      <c r="O13" s="21">
        <v>0.162081455</v>
      </c>
      <c r="P13" s="19" t="s">
        <v>267</v>
      </c>
      <c r="Q13" s="19" t="s">
        <v>268</v>
      </c>
      <c r="R13" s="19" t="s">
        <v>269</v>
      </c>
      <c r="S13" s="19" t="s">
        <v>268</v>
      </c>
      <c r="T13" s="23">
        <v>45791.0</v>
      </c>
    </row>
    <row r="14">
      <c r="A14" s="21">
        <v>7036572.0</v>
      </c>
      <c r="B14" s="19" t="s">
        <v>82</v>
      </c>
      <c r="C14" s="19" t="s">
        <v>25</v>
      </c>
      <c r="D14" s="19" t="s">
        <v>266</v>
      </c>
      <c r="E14" s="22">
        <v>6574.94</v>
      </c>
      <c r="F14" s="21">
        <v>8452.7</v>
      </c>
      <c r="G14" s="21">
        <v>2.0</v>
      </c>
      <c r="H14" s="21">
        <v>192.0</v>
      </c>
      <c r="I14" s="21">
        <v>64.0</v>
      </c>
      <c r="J14" s="21">
        <v>883.2</v>
      </c>
      <c r="K14" s="21">
        <v>2760.96</v>
      </c>
      <c r="L14" s="21">
        <v>2471.36</v>
      </c>
      <c r="M14" s="21">
        <v>4349.12</v>
      </c>
      <c r="N14" s="21">
        <v>0.759808365</v>
      </c>
      <c r="O14" s="21">
        <v>0.285593481</v>
      </c>
      <c r="P14" s="19" t="s">
        <v>272</v>
      </c>
      <c r="Q14" s="19" t="s">
        <v>268</v>
      </c>
      <c r="R14" s="19" t="s">
        <v>268</v>
      </c>
      <c r="S14" s="19" t="s">
        <v>268</v>
      </c>
      <c r="T14" s="23">
        <v>45797.0</v>
      </c>
    </row>
    <row r="15">
      <c r="A15" s="21">
        <v>7015128.0</v>
      </c>
      <c r="B15" s="19" t="s">
        <v>52</v>
      </c>
      <c r="C15" s="19" t="s">
        <v>30</v>
      </c>
      <c r="D15" s="19" t="s">
        <v>266</v>
      </c>
      <c r="E15" s="22">
        <v>6669.76</v>
      </c>
      <c r="F15" s="21">
        <v>8153.922</v>
      </c>
      <c r="G15" s="21">
        <v>2.0</v>
      </c>
      <c r="H15" s="21">
        <v>192.0</v>
      </c>
      <c r="I15" s="21">
        <v>64.0</v>
      </c>
      <c r="J15" s="21">
        <v>883.2</v>
      </c>
      <c r="K15" s="21">
        <v>2367.36</v>
      </c>
      <c r="L15" s="21">
        <v>2963.928</v>
      </c>
      <c r="M15" s="21">
        <v>4448.088</v>
      </c>
      <c r="N15" s="21">
        <v>0.500740909</v>
      </c>
      <c r="O15" s="21">
        <v>0.222520684</v>
      </c>
      <c r="P15" s="19" t="s">
        <v>272</v>
      </c>
      <c r="Q15" s="19" t="s">
        <v>268</v>
      </c>
      <c r="R15" s="19" t="s">
        <v>269</v>
      </c>
      <c r="S15" s="19" t="s">
        <v>268</v>
      </c>
      <c r="T15" s="23">
        <v>45791.0</v>
      </c>
    </row>
    <row r="16">
      <c r="A16" s="21">
        <v>5636208.0</v>
      </c>
      <c r="B16" s="19" t="s">
        <v>111</v>
      </c>
      <c r="C16" s="19" t="s">
        <v>25</v>
      </c>
      <c r="D16" s="19" t="s">
        <v>266</v>
      </c>
      <c r="E16" s="22">
        <v>3141.03</v>
      </c>
      <c r="F16" s="21">
        <v>3385.9944</v>
      </c>
      <c r="G16" s="21">
        <v>1.0</v>
      </c>
      <c r="H16" s="21">
        <v>64.0</v>
      </c>
      <c r="I16" s="21">
        <v>16.0</v>
      </c>
      <c r="J16" s="21">
        <v>294.4</v>
      </c>
      <c r="K16" s="21">
        <v>539.36</v>
      </c>
      <c r="L16" s="21">
        <v>1556.1</v>
      </c>
      <c r="M16" s="21">
        <v>1801.06</v>
      </c>
      <c r="N16" s="21">
        <v>0.157419189</v>
      </c>
      <c r="O16" s="21">
        <v>0.077987048</v>
      </c>
      <c r="P16" s="19" t="s">
        <v>267</v>
      </c>
      <c r="Q16" s="19" t="s">
        <v>268</v>
      </c>
      <c r="R16" s="19" t="s">
        <v>269</v>
      </c>
      <c r="S16" s="19" t="s">
        <v>268</v>
      </c>
      <c r="T16" s="23">
        <v>45791.0</v>
      </c>
    </row>
    <row r="17">
      <c r="A17" s="21">
        <v>7014870.0</v>
      </c>
      <c r="B17" s="19" t="s">
        <v>273</v>
      </c>
      <c r="C17" s="19" t="s">
        <v>30</v>
      </c>
      <c r="D17" s="19" t="s">
        <v>274</v>
      </c>
      <c r="E17" s="22">
        <v>8334.84</v>
      </c>
      <c r="F17" s="21">
        <v>9918.203</v>
      </c>
      <c r="G17" s="21">
        <v>2.0</v>
      </c>
      <c r="H17" s="21">
        <v>256.0</v>
      </c>
      <c r="I17" s="21">
        <v>64.0</v>
      </c>
      <c r="J17" s="21">
        <v>1177.6</v>
      </c>
      <c r="K17" s="21">
        <v>2760.96</v>
      </c>
      <c r="L17" s="21">
        <v>4821.3</v>
      </c>
      <c r="M17" s="21">
        <v>6404.66</v>
      </c>
      <c r="N17" s="21">
        <v>0.32840935</v>
      </c>
      <c r="O17" s="21">
        <v>0.189968785</v>
      </c>
      <c r="P17" s="19" t="s">
        <v>272</v>
      </c>
      <c r="Q17" s="19" t="s">
        <v>268</v>
      </c>
      <c r="R17" s="19" t="s">
        <v>268</v>
      </c>
      <c r="S17" s="19" t="s">
        <v>269</v>
      </c>
      <c r="T17" s="23">
        <v>45797.0</v>
      </c>
    </row>
    <row r="18">
      <c r="A18" s="21">
        <v>7002146.0</v>
      </c>
      <c r="B18" s="24" t="s">
        <v>275</v>
      </c>
      <c r="C18" s="19" t="s">
        <v>276</v>
      </c>
      <c r="D18" s="19" t="s">
        <v>266</v>
      </c>
      <c r="E18" s="22">
        <v>3663.39</v>
      </c>
      <c r="F18" s="21">
        <v>4455.0719</v>
      </c>
      <c r="G18" s="21">
        <v>2.0</v>
      </c>
      <c r="H18" s="21">
        <v>128.0</v>
      </c>
      <c r="I18" s="21">
        <v>32.0</v>
      </c>
      <c r="J18" s="21">
        <v>588.8</v>
      </c>
      <c r="K18" s="21">
        <v>1380.48</v>
      </c>
      <c r="L18" s="21">
        <v>2831.8626</v>
      </c>
      <c r="M18" s="21">
        <v>3623.5426</v>
      </c>
      <c r="N18" s="21">
        <v>0.279561586</v>
      </c>
      <c r="O18" s="21">
        <v>0.216105735</v>
      </c>
      <c r="P18" s="19" t="s">
        <v>267</v>
      </c>
      <c r="Q18" s="19" t="s">
        <v>268</v>
      </c>
      <c r="R18" s="19" t="s">
        <v>268</v>
      </c>
      <c r="S18" s="19" t="s">
        <v>269</v>
      </c>
      <c r="T18" s="23">
        <v>45797.0</v>
      </c>
    </row>
    <row r="19">
      <c r="A19" s="21">
        <v>6131312.0</v>
      </c>
      <c r="B19" s="19" t="s">
        <v>107</v>
      </c>
      <c r="C19" s="19" t="s">
        <v>59</v>
      </c>
      <c r="D19" s="19" t="s">
        <v>266</v>
      </c>
      <c r="E19" s="22">
        <v>6856.46</v>
      </c>
      <c r="F19" s="21">
        <v>7247.4959</v>
      </c>
      <c r="G19" s="21">
        <v>2.0</v>
      </c>
      <c r="H19" s="21">
        <v>384.0</v>
      </c>
      <c r="I19" s="21">
        <v>64.0</v>
      </c>
      <c r="J19" s="21">
        <v>1766.4</v>
      </c>
      <c r="K19" s="21">
        <v>2157.44</v>
      </c>
      <c r="L19" s="21">
        <v>4255.335</v>
      </c>
      <c r="M19" s="21">
        <v>4646.375</v>
      </c>
      <c r="N19" s="21">
        <v>0.091894058</v>
      </c>
      <c r="O19" s="21">
        <v>0.05703238</v>
      </c>
      <c r="P19" s="19" t="s">
        <v>272</v>
      </c>
      <c r="Q19" s="19" t="s">
        <v>268</v>
      </c>
      <c r="R19" s="19" t="s">
        <v>269</v>
      </c>
      <c r="S19" s="19" t="s">
        <v>268</v>
      </c>
      <c r="T19" s="23">
        <v>45791.0</v>
      </c>
    </row>
    <row r="20">
      <c r="A20" s="21">
        <v>7014601.0</v>
      </c>
      <c r="B20" s="19" t="s">
        <v>133</v>
      </c>
      <c r="C20" s="19" t="s">
        <v>99</v>
      </c>
      <c r="D20" s="19" t="s">
        <v>266</v>
      </c>
      <c r="E20" s="22">
        <v>8683.68</v>
      </c>
      <c r="F20" s="21">
        <v>9512.4764</v>
      </c>
      <c r="G20" s="21">
        <v>2.0</v>
      </c>
      <c r="H20" s="21">
        <v>256.0</v>
      </c>
      <c r="I20" s="21">
        <v>64.0</v>
      </c>
      <c r="J20" s="21">
        <v>1177.6</v>
      </c>
      <c r="K20" s="21">
        <v>2006.4</v>
      </c>
      <c r="L20" s="21">
        <v>5983.67</v>
      </c>
      <c r="M20" s="21">
        <v>6812.47</v>
      </c>
      <c r="N20" s="21">
        <v>0.138510312</v>
      </c>
      <c r="O20" s="21">
        <v>0.095443446</v>
      </c>
      <c r="P20" s="19" t="s">
        <v>272</v>
      </c>
      <c r="Q20" s="19" t="s">
        <v>268</v>
      </c>
      <c r="R20" s="19" t="s">
        <v>269</v>
      </c>
      <c r="S20" s="19" t="s">
        <v>268</v>
      </c>
      <c r="T20" s="23">
        <v>45791.0</v>
      </c>
    </row>
    <row r="21">
      <c r="A21" s="21">
        <v>7013453.0</v>
      </c>
      <c r="B21" s="19" t="s">
        <v>32</v>
      </c>
      <c r="C21" s="19" t="s">
        <v>33</v>
      </c>
      <c r="D21" s="19" t="s">
        <v>266</v>
      </c>
      <c r="E21" s="22">
        <v>9925.4</v>
      </c>
      <c r="F21" s="21">
        <v>12097.56</v>
      </c>
      <c r="G21" s="21">
        <v>2.0</v>
      </c>
      <c r="H21" s="21">
        <v>128.0</v>
      </c>
      <c r="I21" s="21">
        <v>64.0</v>
      </c>
      <c r="J21" s="21">
        <v>588.8</v>
      </c>
      <c r="K21" s="21">
        <v>2760.96</v>
      </c>
      <c r="L21" s="21">
        <v>4702.98</v>
      </c>
      <c r="M21" s="21">
        <v>6875.14</v>
      </c>
      <c r="N21" s="21">
        <v>0.461868858</v>
      </c>
      <c r="O21" s="21">
        <v>0.218848611</v>
      </c>
      <c r="P21" s="19" t="s">
        <v>272</v>
      </c>
      <c r="Q21" s="19" t="s">
        <v>268</v>
      </c>
      <c r="R21" s="19" t="s">
        <v>268</v>
      </c>
      <c r="S21" s="19" t="s">
        <v>268</v>
      </c>
      <c r="T21" s="23">
        <v>45797.0</v>
      </c>
    </row>
    <row r="22">
      <c r="A22" s="21">
        <v>7012728.0</v>
      </c>
      <c r="B22" s="19" t="s">
        <v>116</v>
      </c>
      <c r="C22" s="19" t="s">
        <v>59</v>
      </c>
      <c r="D22" s="19" t="s">
        <v>266</v>
      </c>
      <c r="E22" s="22">
        <v>10786.0</v>
      </c>
      <c r="F22" s="21">
        <v>14343.12</v>
      </c>
      <c r="G22" s="21">
        <v>4.0</v>
      </c>
      <c r="H22" s="21">
        <v>256.0</v>
      </c>
      <c r="I22" s="21">
        <v>128.0</v>
      </c>
      <c r="J22" s="21">
        <v>1177.6</v>
      </c>
      <c r="K22" s="21">
        <v>4734.72</v>
      </c>
      <c r="L22" s="21">
        <v>7995.0</v>
      </c>
      <c r="M22" s="21">
        <v>11552.12</v>
      </c>
      <c r="N22" s="21">
        <v>0.444918074</v>
      </c>
      <c r="O22" s="21">
        <v>0.329790469</v>
      </c>
      <c r="P22" s="19" t="s">
        <v>272</v>
      </c>
      <c r="Q22" s="19" t="s">
        <v>268</v>
      </c>
      <c r="R22" s="19" t="s">
        <v>269</v>
      </c>
      <c r="S22" s="19" t="s">
        <v>268</v>
      </c>
      <c r="T22" s="23">
        <v>45791.0</v>
      </c>
    </row>
    <row r="23">
      <c r="A23" s="21">
        <v>7002270.0</v>
      </c>
      <c r="B23" s="24" t="s">
        <v>277</v>
      </c>
      <c r="C23" s="19" t="s">
        <v>99</v>
      </c>
      <c r="D23" s="19" t="s">
        <v>266</v>
      </c>
      <c r="E23" s="22">
        <v>7014.06</v>
      </c>
      <c r="F23" s="21">
        <v>7320.6209</v>
      </c>
      <c r="G23" s="21">
        <v>2.0</v>
      </c>
      <c r="H23" s="21">
        <v>448.0</v>
      </c>
      <c r="I23" s="21">
        <v>64.0</v>
      </c>
      <c r="J23" s="21">
        <v>2060.8</v>
      </c>
      <c r="K23" s="21">
        <v>2367.36</v>
      </c>
      <c r="L23" s="21">
        <v>3560.0642</v>
      </c>
      <c r="M23" s="21">
        <v>3866.6242</v>
      </c>
      <c r="N23" s="21">
        <v>0.086110807</v>
      </c>
      <c r="O23" s="21">
        <v>0.043706492</v>
      </c>
      <c r="P23" s="19" t="s">
        <v>272</v>
      </c>
      <c r="Q23" s="19" t="s">
        <v>268</v>
      </c>
      <c r="R23" s="19" t="s">
        <v>269</v>
      </c>
      <c r="S23" s="19" t="s">
        <v>268</v>
      </c>
      <c r="T23" s="23">
        <v>45791.0</v>
      </c>
    </row>
    <row r="24">
      <c r="A24" s="21">
        <v>7013249.0</v>
      </c>
      <c r="B24" s="19" t="s">
        <v>98</v>
      </c>
      <c r="C24" s="19" t="s">
        <v>99</v>
      </c>
      <c r="D24" s="19" t="s">
        <v>266</v>
      </c>
      <c r="E24" s="22">
        <v>11303.23</v>
      </c>
      <c r="F24" s="21">
        <v>12499.0711</v>
      </c>
      <c r="G24" s="21">
        <v>3.0</v>
      </c>
      <c r="H24" s="21">
        <v>512.0</v>
      </c>
      <c r="I24" s="21">
        <v>96.0</v>
      </c>
      <c r="J24" s="21">
        <v>2355.2</v>
      </c>
      <c r="K24" s="21">
        <v>3551.04</v>
      </c>
      <c r="L24" s="21">
        <v>5390.6629</v>
      </c>
      <c r="M24" s="21">
        <v>6586.5029</v>
      </c>
      <c r="N24" s="21">
        <v>0.221835426</v>
      </c>
      <c r="O24" s="21">
        <v>0.105796297</v>
      </c>
      <c r="P24" s="19" t="s">
        <v>272</v>
      </c>
      <c r="Q24" s="19" t="s">
        <v>268</v>
      </c>
      <c r="R24" s="19" t="s">
        <v>269</v>
      </c>
      <c r="S24" s="19" t="s">
        <v>268</v>
      </c>
      <c r="T24" s="23">
        <v>45791.0</v>
      </c>
    </row>
    <row r="25">
      <c r="A25" s="21">
        <v>7013099.0</v>
      </c>
      <c r="B25" s="19" t="s">
        <v>132</v>
      </c>
      <c r="C25" s="19" t="s">
        <v>59</v>
      </c>
      <c r="D25" s="19" t="s">
        <v>266</v>
      </c>
      <c r="E25" s="22">
        <v>13520.99</v>
      </c>
      <c r="F25" s="21">
        <v>14990.7528</v>
      </c>
      <c r="G25" s="21">
        <v>3.0</v>
      </c>
      <c r="H25" s="21">
        <v>384.0</v>
      </c>
      <c r="I25" s="21">
        <v>96.0</v>
      </c>
      <c r="J25" s="21">
        <v>1766.4</v>
      </c>
      <c r="K25" s="21">
        <v>3236.16</v>
      </c>
      <c r="L25" s="21">
        <v>8926.3482</v>
      </c>
      <c r="M25" s="21">
        <v>10396.1082</v>
      </c>
      <c r="N25" s="21">
        <v>0.164654119</v>
      </c>
      <c r="O25" s="21">
        <v>0.108702077</v>
      </c>
      <c r="P25" s="19" t="s">
        <v>272</v>
      </c>
      <c r="Q25" s="19" t="s">
        <v>268</v>
      </c>
      <c r="R25" s="19" t="s">
        <v>269</v>
      </c>
      <c r="S25" s="19" t="s">
        <v>268</v>
      </c>
      <c r="T25" s="23">
        <v>45791.0</v>
      </c>
    </row>
    <row r="26">
      <c r="A26" s="21">
        <v>5711523.0</v>
      </c>
      <c r="B26" s="19" t="s">
        <v>66</v>
      </c>
      <c r="C26" s="19" t="s">
        <v>59</v>
      </c>
      <c r="D26" s="19" t="s">
        <v>266</v>
      </c>
      <c r="E26" s="22">
        <v>11895.83</v>
      </c>
      <c r="F26" s="21">
        <v>12496.7859</v>
      </c>
      <c r="G26" s="21">
        <v>2.0</v>
      </c>
      <c r="H26" s="21">
        <v>384.0</v>
      </c>
      <c r="I26" s="21">
        <v>64.0</v>
      </c>
      <c r="J26" s="21">
        <v>1766.4</v>
      </c>
      <c r="K26" s="21">
        <v>2367.36</v>
      </c>
      <c r="L26" s="21">
        <v>5091.24</v>
      </c>
      <c r="M26" s="21">
        <v>5692.2</v>
      </c>
      <c r="N26" s="21">
        <v>0.118038042</v>
      </c>
      <c r="O26" s="21">
        <v>0.05051856</v>
      </c>
      <c r="P26" s="19" t="s">
        <v>272</v>
      </c>
      <c r="Q26" s="19" t="s">
        <v>268</v>
      </c>
      <c r="R26" s="19" t="s">
        <v>269</v>
      </c>
      <c r="S26" s="19" t="s">
        <v>268</v>
      </c>
      <c r="T26" s="23">
        <v>45791.0</v>
      </c>
    </row>
    <row r="27">
      <c r="A27" s="21">
        <v>7007499.0</v>
      </c>
      <c r="B27" s="19" t="s">
        <v>57</v>
      </c>
      <c r="C27" s="19" t="s">
        <v>30</v>
      </c>
      <c r="D27" s="19" t="s">
        <v>266</v>
      </c>
      <c r="E27" s="22">
        <v>12250.03</v>
      </c>
      <c r="F27" s="21">
        <v>12950.1915</v>
      </c>
      <c r="G27" s="21">
        <v>4.0</v>
      </c>
      <c r="H27" s="21">
        <v>896.0</v>
      </c>
      <c r="I27" s="21">
        <v>96.0</v>
      </c>
      <c r="J27" s="21">
        <v>4121.6</v>
      </c>
      <c r="K27" s="21">
        <v>4821.76</v>
      </c>
      <c r="L27" s="21">
        <v>14438.9588</v>
      </c>
      <c r="M27" s="21">
        <v>15139.1188</v>
      </c>
      <c r="N27" s="21">
        <v>0.048491031</v>
      </c>
      <c r="O27" s="21">
        <v>0.057155771</v>
      </c>
      <c r="P27" s="19" t="s">
        <v>272</v>
      </c>
      <c r="Q27" s="19" t="s">
        <v>268</v>
      </c>
      <c r="R27" s="19" t="s">
        <v>268</v>
      </c>
      <c r="S27" s="19" t="s">
        <v>268</v>
      </c>
      <c r="T27" s="23">
        <v>45797.0</v>
      </c>
    </row>
    <row r="28">
      <c r="A28" s="21">
        <v>7008227.0</v>
      </c>
      <c r="B28" s="19" t="s">
        <v>103</v>
      </c>
      <c r="C28" s="19" t="s">
        <v>59</v>
      </c>
      <c r="D28" s="19" t="s">
        <v>266</v>
      </c>
      <c r="E28" s="22">
        <v>14554.67</v>
      </c>
      <c r="F28" s="21">
        <v>15456.1063</v>
      </c>
      <c r="G28" s="21">
        <v>3.0</v>
      </c>
      <c r="H28" s="21">
        <v>576.0</v>
      </c>
      <c r="I28" s="21">
        <v>96.0</v>
      </c>
      <c r="J28" s="21">
        <v>2649.6</v>
      </c>
      <c r="K28" s="21">
        <v>3551.04</v>
      </c>
      <c r="L28" s="21">
        <v>8675.1</v>
      </c>
      <c r="M28" s="21">
        <v>9576.54</v>
      </c>
      <c r="N28" s="21">
        <v>0.103911194</v>
      </c>
      <c r="O28" s="21">
        <v>0.061934776</v>
      </c>
      <c r="P28" s="19" t="s">
        <v>272</v>
      </c>
      <c r="Q28" s="19" t="s">
        <v>268</v>
      </c>
      <c r="R28" s="19" t="s">
        <v>269</v>
      </c>
      <c r="S28" s="19" t="s">
        <v>268</v>
      </c>
      <c r="T28" s="23">
        <v>45791.0</v>
      </c>
    </row>
    <row r="29">
      <c r="A29" s="21">
        <v>7014786.0</v>
      </c>
      <c r="B29" s="19" t="s">
        <v>142</v>
      </c>
      <c r="C29" s="19" t="s">
        <v>33</v>
      </c>
      <c r="D29" s="19" t="s">
        <v>266</v>
      </c>
      <c r="E29" s="22">
        <v>20817.95</v>
      </c>
      <c r="F29" s="21">
        <v>23195.9533</v>
      </c>
      <c r="G29" s="21">
        <v>3.0</v>
      </c>
      <c r="H29" s="21">
        <v>448.0</v>
      </c>
      <c r="I29" s="21">
        <v>120.0</v>
      </c>
      <c r="J29" s="21">
        <v>2060.8</v>
      </c>
      <c r="K29" s="21">
        <v>4438.8</v>
      </c>
      <c r="L29" s="21">
        <v>10500.0</v>
      </c>
      <c r="M29" s="21">
        <v>12878.0</v>
      </c>
      <c r="N29" s="21">
        <v>0.22647619</v>
      </c>
      <c r="O29" s="21">
        <v>0.114228328</v>
      </c>
      <c r="P29" s="19" t="s">
        <v>272</v>
      </c>
      <c r="Q29" s="19" t="s">
        <v>268</v>
      </c>
      <c r="R29" s="19" t="s">
        <v>269</v>
      </c>
      <c r="S29" s="19" t="s">
        <v>268</v>
      </c>
      <c r="T29" s="23">
        <v>45791.0</v>
      </c>
    </row>
    <row r="30">
      <c r="A30" s="21">
        <v>5401567.0</v>
      </c>
      <c r="B30" s="19" t="s">
        <v>92</v>
      </c>
      <c r="C30" s="19" t="s">
        <v>59</v>
      </c>
      <c r="D30" s="19" t="s">
        <v>266</v>
      </c>
      <c r="E30" s="22">
        <v>16815.19</v>
      </c>
      <c r="F30" s="21">
        <v>17809.75</v>
      </c>
      <c r="G30" s="21">
        <v>4.0</v>
      </c>
      <c r="H30" s="21">
        <v>896.0</v>
      </c>
      <c r="I30" s="21">
        <v>128.0</v>
      </c>
      <c r="J30" s="21">
        <v>4121.6</v>
      </c>
      <c r="K30" s="21">
        <v>5116.16</v>
      </c>
      <c r="L30" s="21">
        <v>9423.5554</v>
      </c>
      <c r="M30" s="21">
        <v>10418.1154</v>
      </c>
      <c r="N30" s="21">
        <v>0.105539784</v>
      </c>
      <c r="O30" s="21">
        <v>0.059146522</v>
      </c>
      <c r="P30" s="19" t="s">
        <v>272</v>
      </c>
      <c r="Q30" s="19" t="s">
        <v>268</v>
      </c>
      <c r="R30" s="19" t="s">
        <v>269</v>
      </c>
      <c r="S30" s="19" t="s">
        <v>268</v>
      </c>
      <c r="T30" s="23">
        <v>45791.0</v>
      </c>
    </row>
    <row r="31">
      <c r="A31" s="21">
        <v>7011090.0</v>
      </c>
      <c r="B31" s="19" t="s">
        <v>93</v>
      </c>
      <c r="C31" s="19" t="s">
        <v>33</v>
      </c>
      <c r="D31" s="19" t="s">
        <v>266</v>
      </c>
      <c r="E31" s="22">
        <v>17297.5</v>
      </c>
      <c r="F31" s="21">
        <v>17777.5</v>
      </c>
      <c r="G31" s="21">
        <v>4.0</v>
      </c>
      <c r="H31" s="21">
        <v>768.0</v>
      </c>
      <c r="I31" s="21">
        <v>128.0</v>
      </c>
      <c r="J31" s="21">
        <v>3532.8</v>
      </c>
      <c r="K31" s="21">
        <v>4012.8</v>
      </c>
      <c r="L31" s="21">
        <v>6417.2</v>
      </c>
      <c r="M31" s="21">
        <v>6897.2</v>
      </c>
      <c r="N31" s="21">
        <v>0.074798978</v>
      </c>
      <c r="O31" s="21">
        <v>0.027749675</v>
      </c>
      <c r="P31" s="19" t="s">
        <v>272</v>
      </c>
      <c r="Q31" s="19" t="s">
        <v>268</v>
      </c>
      <c r="R31" s="19" t="s">
        <v>269</v>
      </c>
      <c r="S31" s="19" t="s">
        <v>268</v>
      </c>
      <c r="T31" s="23">
        <v>45791.0</v>
      </c>
    </row>
    <row r="32">
      <c r="A32" s="21">
        <v>7009239.0</v>
      </c>
      <c r="B32" s="24" t="s">
        <v>278</v>
      </c>
      <c r="C32" s="19" t="s">
        <v>48</v>
      </c>
      <c r="D32" s="19" t="s">
        <v>266</v>
      </c>
      <c r="E32" s="22">
        <v>21804.02</v>
      </c>
      <c r="F32" s="21">
        <v>22414.104</v>
      </c>
      <c r="G32" s="21">
        <v>3.0</v>
      </c>
      <c r="H32" s="21">
        <v>768.0</v>
      </c>
      <c r="I32" s="21">
        <v>112.0</v>
      </c>
      <c r="J32" s="21">
        <v>3532.8</v>
      </c>
      <c r="K32" s="21">
        <v>4142.88</v>
      </c>
      <c r="L32" s="21">
        <v>13153.1235</v>
      </c>
      <c r="M32" s="21">
        <v>13763.2035</v>
      </c>
      <c r="N32" s="21">
        <v>0.046382899</v>
      </c>
      <c r="O32" s="21">
        <v>0.027980156</v>
      </c>
      <c r="P32" s="19" t="s">
        <v>272</v>
      </c>
      <c r="Q32" s="19" t="s">
        <v>268</v>
      </c>
      <c r="R32" s="19" t="s">
        <v>269</v>
      </c>
      <c r="S32" s="19" t="s">
        <v>268</v>
      </c>
      <c r="T32" s="23">
        <v>45791.0</v>
      </c>
    </row>
    <row r="33">
      <c r="A33" s="21">
        <v>7014548.0</v>
      </c>
      <c r="B33" s="24" t="s">
        <v>279</v>
      </c>
      <c r="C33" s="19" t="s">
        <v>48</v>
      </c>
      <c r="D33" s="19" t="s">
        <v>280</v>
      </c>
      <c r="E33" s="22">
        <v>23565.22</v>
      </c>
      <c r="F33" s="21">
        <v>24754.9775</v>
      </c>
      <c r="G33" s="21">
        <v>2.0</v>
      </c>
      <c r="H33" s="21">
        <v>256.0</v>
      </c>
      <c r="I33" s="21">
        <v>64.0</v>
      </c>
      <c r="J33" s="21">
        <v>1177.6</v>
      </c>
      <c r="K33" s="21">
        <v>2367.36</v>
      </c>
      <c r="L33" s="21">
        <v>5236.506</v>
      </c>
      <c r="M33" s="21">
        <v>6426.266</v>
      </c>
      <c r="N33" s="21">
        <v>0.227204934</v>
      </c>
      <c r="O33" s="21">
        <v>0.05048797</v>
      </c>
      <c r="P33" s="19" t="s">
        <v>272</v>
      </c>
      <c r="Q33" s="19" t="s">
        <v>268</v>
      </c>
      <c r="R33" s="19" t="s">
        <v>269</v>
      </c>
      <c r="S33" s="19" t="s">
        <v>268</v>
      </c>
      <c r="T33" s="23">
        <v>45791.0</v>
      </c>
    </row>
    <row r="34">
      <c r="A34" s="21">
        <v>7000167.0</v>
      </c>
      <c r="B34" s="19" t="s">
        <v>85</v>
      </c>
      <c r="C34" s="19" t="s">
        <v>59</v>
      </c>
      <c r="D34" s="19" t="s">
        <v>266</v>
      </c>
      <c r="E34" s="22">
        <v>24354.83</v>
      </c>
      <c r="F34" s="21">
        <v>25256.267</v>
      </c>
      <c r="G34" s="21">
        <v>3.0</v>
      </c>
      <c r="H34" s="21">
        <v>576.0</v>
      </c>
      <c r="I34" s="21">
        <v>96.0</v>
      </c>
      <c r="J34" s="21">
        <v>2649.6</v>
      </c>
      <c r="K34" s="21">
        <v>3551.04</v>
      </c>
      <c r="L34" s="21">
        <v>7116.4842</v>
      </c>
      <c r="M34" s="21">
        <v>8017.9242</v>
      </c>
      <c r="N34" s="21">
        <v>0.12666929</v>
      </c>
      <c r="O34" s="21">
        <v>0.037012786</v>
      </c>
      <c r="P34" s="19" t="s">
        <v>272</v>
      </c>
      <c r="Q34" s="19" t="s">
        <v>268</v>
      </c>
      <c r="R34" s="19" t="s">
        <v>269</v>
      </c>
      <c r="S34" s="19" t="s">
        <v>268</v>
      </c>
      <c r="T34" s="23">
        <v>45791.0</v>
      </c>
    </row>
    <row r="35">
      <c r="A35" s="21">
        <v>7009655.0</v>
      </c>
      <c r="B35" s="19" t="s">
        <v>118</v>
      </c>
      <c r="C35" s="19" t="s">
        <v>48</v>
      </c>
      <c r="D35" s="19" t="s">
        <v>281</v>
      </c>
      <c r="E35" s="22">
        <v>15137.13</v>
      </c>
      <c r="F35" s="21">
        <v>16116.973</v>
      </c>
      <c r="G35" s="21">
        <v>2.0</v>
      </c>
      <c r="H35" s="21">
        <v>256.0</v>
      </c>
      <c r="I35" s="21">
        <v>64.0</v>
      </c>
      <c r="J35" s="21">
        <v>1177.6</v>
      </c>
      <c r="K35" s="21">
        <v>2157.44</v>
      </c>
      <c r="L35" s="21">
        <v>5798.1</v>
      </c>
      <c r="M35" s="21">
        <v>6777.94</v>
      </c>
      <c r="N35" s="21">
        <v>0.168993291</v>
      </c>
      <c r="O35" s="21">
        <v>0.064730884</v>
      </c>
      <c r="P35" s="19" t="s">
        <v>272</v>
      </c>
      <c r="Q35" s="19" t="s">
        <v>268</v>
      </c>
      <c r="R35" s="19" t="s">
        <v>268</v>
      </c>
      <c r="S35" s="19" t="s">
        <v>268</v>
      </c>
      <c r="T35" s="23">
        <v>45797.0</v>
      </c>
    </row>
    <row r="36">
      <c r="A36" s="21">
        <v>7006911.0</v>
      </c>
      <c r="B36" s="19" t="s">
        <v>75</v>
      </c>
      <c r="C36" s="19" t="s">
        <v>76</v>
      </c>
      <c r="D36" s="19" t="s">
        <v>281</v>
      </c>
      <c r="E36" s="22">
        <v>34691.23</v>
      </c>
      <c r="F36" s="21">
        <v>37070.7479</v>
      </c>
      <c r="G36" s="21">
        <v>4.0</v>
      </c>
      <c r="H36" s="21">
        <v>512.0</v>
      </c>
      <c r="I36" s="21">
        <v>128.0</v>
      </c>
      <c r="J36" s="21">
        <v>2355.2</v>
      </c>
      <c r="K36" s="21">
        <v>4734.72</v>
      </c>
      <c r="L36" s="21">
        <v>15030.1704</v>
      </c>
      <c r="M36" s="21">
        <v>17409.6904</v>
      </c>
      <c r="N36" s="21">
        <v>0.158316236</v>
      </c>
      <c r="O36" s="21">
        <v>0.068591403</v>
      </c>
      <c r="P36" s="19" t="s">
        <v>272</v>
      </c>
      <c r="Q36" s="19" t="s">
        <v>268</v>
      </c>
      <c r="R36" s="19" t="s">
        <v>269</v>
      </c>
      <c r="S36" s="19" t="s">
        <v>268</v>
      </c>
      <c r="T36" s="23">
        <v>45791.0</v>
      </c>
    </row>
    <row r="37">
      <c r="A37" s="21">
        <v>7002412.0</v>
      </c>
      <c r="B37" s="19" t="s">
        <v>95</v>
      </c>
      <c r="C37" s="19" t="s">
        <v>48</v>
      </c>
      <c r="D37" s="19" t="s">
        <v>280</v>
      </c>
      <c r="E37" s="22">
        <v>31776.35</v>
      </c>
      <c r="F37" s="21">
        <v>32677.7934</v>
      </c>
      <c r="G37" s="21">
        <v>3.0</v>
      </c>
      <c r="H37" s="21">
        <v>576.0</v>
      </c>
      <c r="I37" s="21">
        <v>96.0</v>
      </c>
      <c r="J37" s="21">
        <v>2649.6</v>
      </c>
      <c r="K37" s="21">
        <v>3551.04</v>
      </c>
      <c r="L37" s="21">
        <v>10191.2181</v>
      </c>
      <c r="M37" s="21">
        <v>11092.6581</v>
      </c>
      <c r="N37" s="21">
        <v>0.088452626</v>
      </c>
      <c r="O37" s="21">
        <v>0.028368265</v>
      </c>
      <c r="P37" s="19" t="s">
        <v>272</v>
      </c>
      <c r="Q37" s="19" t="s">
        <v>268</v>
      </c>
      <c r="R37" s="19" t="s">
        <v>269</v>
      </c>
      <c r="S37" s="19" t="s">
        <v>268</v>
      </c>
      <c r="T37" s="23">
        <v>45791.0</v>
      </c>
    </row>
    <row r="38">
      <c r="A38" s="21">
        <v>7007308.0</v>
      </c>
      <c r="B38" s="24" t="s">
        <v>282</v>
      </c>
      <c r="C38" s="19" t="s">
        <v>48</v>
      </c>
      <c r="D38" s="19" t="s">
        <v>266</v>
      </c>
      <c r="E38" s="22">
        <v>18436.3</v>
      </c>
      <c r="F38" s="21">
        <v>20019.6568</v>
      </c>
      <c r="G38" s="21">
        <v>2.0</v>
      </c>
      <c r="H38" s="21">
        <v>256.0</v>
      </c>
      <c r="I38" s="21">
        <v>64.0</v>
      </c>
      <c r="J38" s="21">
        <v>1177.6</v>
      </c>
      <c r="K38" s="21">
        <v>2760.96</v>
      </c>
      <c r="L38" s="21">
        <v>6496.71</v>
      </c>
      <c r="M38" s="21">
        <v>8080.07</v>
      </c>
      <c r="N38" s="21">
        <v>0.243717205</v>
      </c>
      <c r="O38" s="21">
        <v>0.085882757</v>
      </c>
      <c r="P38" s="19" t="s">
        <v>272</v>
      </c>
      <c r="Q38" s="19" t="s">
        <v>268</v>
      </c>
      <c r="R38" s="19" t="s">
        <v>268</v>
      </c>
      <c r="S38" s="19" t="s">
        <v>268</v>
      </c>
      <c r="T38" s="23">
        <v>45797.0</v>
      </c>
    </row>
    <row r="39">
      <c r="A39" s="21">
        <v>7008621.0</v>
      </c>
      <c r="B39" s="19" t="s">
        <v>46</v>
      </c>
      <c r="C39" s="19" t="s">
        <v>48</v>
      </c>
      <c r="D39" s="19" t="s">
        <v>274</v>
      </c>
      <c r="E39" s="22">
        <v>36688.43</v>
      </c>
      <c r="F39" s="21">
        <v>40721.0665</v>
      </c>
      <c r="G39" s="21">
        <v>6.0</v>
      </c>
      <c r="H39" s="21">
        <v>576.0</v>
      </c>
      <c r="I39" s="21">
        <v>192.0</v>
      </c>
      <c r="J39" s="21">
        <v>2649.6</v>
      </c>
      <c r="K39" s="21">
        <v>6682.24</v>
      </c>
      <c r="L39" s="21">
        <v>12366.189</v>
      </c>
      <c r="M39" s="21">
        <v>16398.829</v>
      </c>
      <c r="N39" s="21">
        <v>0.326102084</v>
      </c>
      <c r="O39" s="21">
        <v>0.109915861</v>
      </c>
      <c r="P39" s="19" t="s">
        <v>272</v>
      </c>
      <c r="Q39" s="19" t="s">
        <v>268</v>
      </c>
      <c r="R39" s="19" t="s">
        <v>269</v>
      </c>
      <c r="S39" s="19" t="s">
        <v>268</v>
      </c>
      <c r="T39" s="23">
        <v>45791.0</v>
      </c>
    </row>
    <row r="40">
      <c r="A40" s="21">
        <v>5759510.0</v>
      </c>
      <c r="B40" s="19" t="s">
        <v>121</v>
      </c>
      <c r="C40" s="19" t="s">
        <v>59</v>
      </c>
      <c r="D40" s="19" t="s">
        <v>266</v>
      </c>
      <c r="E40" s="22">
        <v>32158.92</v>
      </c>
      <c r="F40" s="21">
        <v>32158.9212</v>
      </c>
      <c r="G40" s="21">
        <v>3.0</v>
      </c>
      <c r="H40" s="21">
        <v>768.0</v>
      </c>
      <c r="I40" s="21">
        <v>96.0</v>
      </c>
      <c r="J40" s="21">
        <v>3532.8</v>
      </c>
      <c r="K40" s="21">
        <v>3532.8</v>
      </c>
      <c r="L40" s="21">
        <v>9931.11</v>
      </c>
      <c r="M40" s="21">
        <v>9931.11</v>
      </c>
      <c r="N40" s="21">
        <v>0.0</v>
      </c>
      <c r="O40" s="21">
        <v>0.0</v>
      </c>
      <c r="P40" s="19" t="s">
        <v>272</v>
      </c>
      <c r="Q40" s="19" t="s">
        <v>268</v>
      </c>
      <c r="R40" s="19" t="s">
        <v>269</v>
      </c>
      <c r="S40" s="19" t="s">
        <v>268</v>
      </c>
      <c r="T40" s="23">
        <v>45791.0</v>
      </c>
    </row>
    <row r="41">
      <c r="A41" s="21">
        <v>7014682.0</v>
      </c>
      <c r="B41" s="19" t="s">
        <v>77</v>
      </c>
      <c r="C41" s="19" t="s">
        <v>33</v>
      </c>
      <c r="D41" s="19" t="s">
        <v>266</v>
      </c>
      <c r="E41" s="22">
        <v>31001.11</v>
      </c>
      <c r="F41" s="21">
        <v>31001.1133</v>
      </c>
      <c r="G41" s="21">
        <v>2.0</v>
      </c>
      <c r="H41" s="21">
        <v>832.0</v>
      </c>
      <c r="I41" s="21">
        <v>64.0</v>
      </c>
      <c r="J41" s="21">
        <v>3827.2</v>
      </c>
      <c r="K41" s="21">
        <v>3827.2</v>
      </c>
      <c r="L41" s="21">
        <v>6246.64</v>
      </c>
      <c r="M41" s="21">
        <v>6246.64</v>
      </c>
      <c r="N41" s="21">
        <v>0.0</v>
      </c>
      <c r="O41" s="21">
        <v>0.0</v>
      </c>
      <c r="P41" s="19" t="s">
        <v>272</v>
      </c>
      <c r="Q41" s="19" t="s">
        <v>268</v>
      </c>
      <c r="R41" s="19" t="s">
        <v>269</v>
      </c>
      <c r="S41" s="19" t="s">
        <v>268</v>
      </c>
      <c r="T41" s="23">
        <v>45791.0</v>
      </c>
    </row>
    <row r="42">
      <c r="A42" s="21">
        <v>7014917.0</v>
      </c>
      <c r="B42" s="19" t="s">
        <v>87</v>
      </c>
      <c r="C42" s="19" t="s">
        <v>48</v>
      </c>
      <c r="D42" s="19" t="s">
        <v>274</v>
      </c>
      <c r="E42" s="22">
        <v>38001.4</v>
      </c>
      <c r="F42" s="21">
        <v>39399.4775</v>
      </c>
      <c r="G42" s="21">
        <v>7.0</v>
      </c>
      <c r="H42" s="21">
        <v>1600.0</v>
      </c>
      <c r="I42" s="21">
        <v>224.0</v>
      </c>
      <c r="J42" s="21">
        <v>7360.0</v>
      </c>
      <c r="K42" s="21">
        <v>8758.08</v>
      </c>
      <c r="L42" s="21">
        <v>16568.5575</v>
      </c>
      <c r="M42" s="21">
        <v>17966.6375</v>
      </c>
      <c r="N42" s="21">
        <v>0.084381516</v>
      </c>
      <c r="O42" s="21">
        <v>0.036790226</v>
      </c>
      <c r="P42" s="19" t="s">
        <v>272</v>
      </c>
      <c r="Q42" s="19" t="s">
        <v>268</v>
      </c>
      <c r="R42" s="19" t="s">
        <v>268</v>
      </c>
      <c r="S42" s="19" t="s">
        <v>268</v>
      </c>
      <c r="T42" s="23">
        <v>45797.0</v>
      </c>
    </row>
    <row r="43">
      <c r="A43" s="21">
        <v>7014387.0</v>
      </c>
      <c r="B43" s="24" t="s">
        <v>283</v>
      </c>
      <c r="C43" s="19" t="s">
        <v>48</v>
      </c>
      <c r="D43" s="19" t="s">
        <v>274</v>
      </c>
      <c r="E43" s="22">
        <v>26794.45</v>
      </c>
      <c r="F43" s="21">
        <v>29468.3738</v>
      </c>
      <c r="G43" s="21">
        <v>6.0</v>
      </c>
      <c r="H43" s="21">
        <v>448.0</v>
      </c>
      <c r="I43" s="21">
        <v>128.0</v>
      </c>
      <c r="J43" s="21">
        <v>2060.8</v>
      </c>
      <c r="K43" s="21">
        <v>4734.72</v>
      </c>
      <c r="L43" s="21">
        <v>8365.5</v>
      </c>
      <c r="M43" s="21">
        <v>11039.42</v>
      </c>
      <c r="N43" s="21">
        <v>0.319636603</v>
      </c>
      <c r="O43" s="21">
        <v>0.099793786</v>
      </c>
      <c r="P43" s="19" t="s">
        <v>272</v>
      </c>
      <c r="Q43" s="19" t="s">
        <v>268</v>
      </c>
      <c r="R43" s="19" t="s">
        <v>269</v>
      </c>
      <c r="S43" s="19" t="s">
        <v>268</v>
      </c>
      <c r="T43" s="23">
        <v>45791.0</v>
      </c>
    </row>
    <row r="44">
      <c r="A44" s="21">
        <v>7009847.0</v>
      </c>
      <c r="B44" s="19" t="s">
        <v>104</v>
      </c>
      <c r="C44" s="19" t="s">
        <v>105</v>
      </c>
      <c r="D44" s="19" t="s">
        <v>280</v>
      </c>
      <c r="E44" s="22">
        <v>103052.9</v>
      </c>
      <c r="F44" s="21">
        <v>103353.3754</v>
      </c>
      <c r="G44" s="21">
        <v>1.0</v>
      </c>
      <c r="H44" s="21">
        <v>192.0</v>
      </c>
      <c r="I44" s="21">
        <v>32.0</v>
      </c>
      <c r="J44" s="21">
        <v>883.2</v>
      </c>
      <c r="K44" s="21">
        <v>1183.68</v>
      </c>
      <c r="L44" s="21">
        <v>2749.11</v>
      </c>
      <c r="M44" s="21">
        <v>3049.59</v>
      </c>
      <c r="N44" s="21">
        <v>0.109300828</v>
      </c>
      <c r="O44" s="21">
        <v>0.002915784</v>
      </c>
      <c r="P44" s="19" t="s">
        <v>272</v>
      </c>
      <c r="Q44" s="19" t="s">
        <v>268</v>
      </c>
      <c r="R44" s="19" t="s">
        <v>269</v>
      </c>
      <c r="S44" s="19" t="s">
        <v>268</v>
      </c>
      <c r="T44" s="23">
        <v>45791.0</v>
      </c>
    </row>
    <row r="45">
      <c r="A45" s="21">
        <v>7014638.0</v>
      </c>
      <c r="B45" s="19" t="s">
        <v>71</v>
      </c>
      <c r="C45" s="19" t="s">
        <v>30</v>
      </c>
      <c r="D45" s="19" t="s">
        <v>274</v>
      </c>
      <c r="E45" s="22">
        <v>83524.67</v>
      </c>
      <c r="F45" s="21">
        <v>83524.6738</v>
      </c>
      <c r="G45" s="21">
        <v>4.0</v>
      </c>
      <c r="H45" s="21">
        <v>1280.0</v>
      </c>
      <c r="I45" s="21">
        <v>128.0</v>
      </c>
      <c r="J45" s="21">
        <v>5888.0</v>
      </c>
      <c r="K45" s="21">
        <v>5888.0</v>
      </c>
      <c r="L45" s="21">
        <v>10285.807</v>
      </c>
      <c r="M45" s="21">
        <v>10285.807</v>
      </c>
      <c r="N45" s="21">
        <v>0.0</v>
      </c>
      <c r="O45" s="21">
        <v>0.0</v>
      </c>
      <c r="P45" s="19" t="s">
        <v>272</v>
      </c>
      <c r="Q45" s="19" t="s">
        <v>268</v>
      </c>
      <c r="R45" s="19" t="s">
        <v>268</v>
      </c>
      <c r="S45" s="19" t="s">
        <v>268</v>
      </c>
      <c r="T45" s="23">
        <v>45797.0</v>
      </c>
    </row>
    <row r="46">
      <c r="A46" s="21">
        <v>7014042.0</v>
      </c>
      <c r="B46" s="19" t="s">
        <v>102</v>
      </c>
      <c r="C46" s="19" t="s">
        <v>59</v>
      </c>
      <c r="D46" s="19" t="s">
        <v>281</v>
      </c>
      <c r="E46" s="22">
        <v>57866.32</v>
      </c>
      <c r="F46" s="21">
        <v>57866.3183</v>
      </c>
      <c r="G46" s="21">
        <v>6.0</v>
      </c>
      <c r="H46" s="21">
        <v>3072.0</v>
      </c>
      <c r="I46" s="21">
        <v>192.0</v>
      </c>
      <c r="J46" s="21">
        <v>14131.2</v>
      </c>
      <c r="K46" s="21">
        <v>14131.2</v>
      </c>
      <c r="L46" s="21">
        <v>33707.7594</v>
      </c>
      <c r="M46" s="21">
        <v>33707.7594</v>
      </c>
      <c r="N46" s="21">
        <v>0.0</v>
      </c>
      <c r="O46" s="21">
        <v>0.0</v>
      </c>
      <c r="P46" s="19" t="s">
        <v>272</v>
      </c>
      <c r="Q46" s="19" t="s">
        <v>268</v>
      </c>
      <c r="R46" s="19" t="s">
        <v>269</v>
      </c>
      <c r="S46" s="19" t="s">
        <v>268</v>
      </c>
      <c r="T46" s="23">
        <v>45791.0</v>
      </c>
    </row>
    <row r="47">
      <c r="A47" s="21">
        <v>7008530.0</v>
      </c>
      <c r="B47" s="19" t="s">
        <v>284</v>
      </c>
      <c r="C47" s="19" t="s">
        <v>276</v>
      </c>
      <c r="D47" s="19" t="s">
        <v>266</v>
      </c>
      <c r="E47" s="22">
        <v>14618.23</v>
      </c>
      <c r="F47" s="21">
        <v>14618.2295</v>
      </c>
      <c r="G47" s="21">
        <v>2.0</v>
      </c>
      <c r="H47" s="21">
        <v>576.0</v>
      </c>
      <c r="I47" s="21">
        <v>32.0</v>
      </c>
      <c r="J47" s="21">
        <v>2649.6</v>
      </c>
      <c r="K47" s="21">
        <v>2649.6</v>
      </c>
      <c r="L47" s="21">
        <v>6537.8544</v>
      </c>
      <c r="M47" s="21">
        <v>6537.8544</v>
      </c>
      <c r="N47" s="21">
        <v>0.0</v>
      </c>
      <c r="O47" s="21">
        <v>0.0</v>
      </c>
      <c r="P47" s="19" t="s">
        <v>272</v>
      </c>
      <c r="Q47" s="19" t="s">
        <v>268</v>
      </c>
      <c r="R47" s="19" t="s">
        <v>268</v>
      </c>
      <c r="S47" s="19" t="s">
        <v>268</v>
      </c>
      <c r="T47" s="23">
        <v>45797.0</v>
      </c>
    </row>
    <row r="48">
      <c r="A48" s="21">
        <v>7015138.0</v>
      </c>
      <c r="B48" s="19" t="s">
        <v>139</v>
      </c>
      <c r="C48" s="19" t="s">
        <v>33</v>
      </c>
      <c r="D48" s="19" t="s">
        <v>266</v>
      </c>
      <c r="E48" s="22">
        <v>41428.42</v>
      </c>
      <c r="F48" s="21">
        <v>41428.42</v>
      </c>
      <c r="G48" s="21">
        <v>4.0</v>
      </c>
      <c r="H48" s="21">
        <v>1536.0</v>
      </c>
      <c r="I48" s="21">
        <v>160.0</v>
      </c>
      <c r="J48" s="21">
        <v>7065.6</v>
      </c>
      <c r="K48" s="21">
        <v>7065.6</v>
      </c>
      <c r="L48" s="21">
        <v>13162.42</v>
      </c>
      <c r="M48" s="21">
        <v>13162.42</v>
      </c>
      <c r="N48" s="21">
        <v>0.0</v>
      </c>
      <c r="O48" s="21">
        <v>0.0</v>
      </c>
      <c r="P48" s="19" t="s">
        <v>272</v>
      </c>
      <c r="Q48" s="19" t="s">
        <v>285</v>
      </c>
      <c r="R48" s="19" t="s">
        <v>269</v>
      </c>
      <c r="S48" s="19" t="s">
        <v>268</v>
      </c>
      <c r="T48" s="23">
        <v>45791.0</v>
      </c>
    </row>
    <row r="49">
      <c r="A49" s="21">
        <v>7014524.0</v>
      </c>
      <c r="B49" s="19" t="s">
        <v>124</v>
      </c>
      <c r="C49" s="19" t="s">
        <v>33</v>
      </c>
      <c r="D49" s="19" t="s">
        <v>281</v>
      </c>
      <c r="E49" s="22">
        <v>26395.52</v>
      </c>
      <c r="F49" s="21">
        <v>26786.5633</v>
      </c>
      <c r="G49" s="21">
        <v>2.0</v>
      </c>
      <c r="H49" s="21">
        <v>384.0</v>
      </c>
      <c r="I49" s="21">
        <v>64.0</v>
      </c>
      <c r="J49" s="21">
        <v>1766.4</v>
      </c>
      <c r="K49" s="21">
        <v>2157.44</v>
      </c>
      <c r="L49" s="21">
        <v>8451.61</v>
      </c>
      <c r="M49" s="21">
        <v>8842.65</v>
      </c>
      <c r="N49" s="21">
        <v>0.046268107</v>
      </c>
      <c r="O49" s="21">
        <v>0.014814633</v>
      </c>
      <c r="P49" s="19" t="s">
        <v>272</v>
      </c>
      <c r="Q49" s="19" t="s">
        <v>269</v>
      </c>
      <c r="R49" s="19" t="s">
        <v>269</v>
      </c>
      <c r="S49" s="19" t="s">
        <v>268</v>
      </c>
      <c r="T49" s="23">
        <v>45791.0</v>
      </c>
    </row>
    <row r="50">
      <c r="A50" s="21">
        <v>7014572.0</v>
      </c>
      <c r="B50" s="19" t="s">
        <v>286</v>
      </c>
      <c r="C50" s="19" t="s">
        <v>42</v>
      </c>
      <c r="D50" s="19" t="s">
        <v>266</v>
      </c>
      <c r="E50" s="22">
        <v>42920.52</v>
      </c>
      <c r="F50" s="21">
        <v>42920.5209</v>
      </c>
      <c r="G50" s="21">
        <v>2.0</v>
      </c>
      <c r="H50" s="21">
        <v>1024.0</v>
      </c>
      <c r="I50" s="21">
        <v>64.0</v>
      </c>
      <c r="J50" s="21">
        <v>4710.4</v>
      </c>
      <c r="K50" s="21">
        <v>4710.4</v>
      </c>
      <c r="L50" s="21">
        <v>9713.788</v>
      </c>
      <c r="M50" s="21">
        <v>9713.788</v>
      </c>
      <c r="N50" s="21">
        <v>0.0</v>
      </c>
      <c r="O50" s="21">
        <v>0.0</v>
      </c>
      <c r="P50" s="19" t="s">
        <v>272</v>
      </c>
      <c r="Q50" s="19" t="s">
        <v>268</v>
      </c>
      <c r="R50" s="19" t="s">
        <v>268</v>
      </c>
      <c r="S50" s="19" t="s">
        <v>268</v>
      </c>
      <c r="T50" s="23">
        <v>45797.0</v>
      </c>
    </row>
  </sheetData>
  <autoFilter ref="$A$1:$T$5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8.25"/>
    <col customWidth="1" min="3" max="3" width="14.13"/>
    <col customWidth="1" min="8" max="8" width="16.0"/>
    <col customWidth="1" min="9" max="9" width="13.13"/>
    <col customWidth="1" min="10" max="10" width="16.88"/>
    <col customWidth="1" min="11" max="11" width="16.0"/>
    <col customWidth="1" min="12" max="12" width="11.25"/>
    <col customWidth="1" min="13" max="13" width="7.63"/>
    <col customWidth="1" min="14" max="14" width="12.75"/>
  </cols>
  <sheetData>
    <row r="1">
      <c r="A1" s="1" t="s">
        <v>287</v>
      </c>
      <c r="I1" s="25" t="s">
        <v>293</v>
      </c>
      <c r="J1" s="25" t="s">
        <v>294</v>
      </c>
      <c r="K1" s="25" t="s">
        <v>295</v>
      </c>
      <c r="L1" s="25" t="s">
        <v>296</v>
      </c>
      <c r="M1" s="26" t="s">
        <v>297</v>
      </c>
      <c r="N1" s="26" t="s">
        <v>298</v>
      </c>
      <c r="O1" s="5" t="s">
        <v>299</v>
      </c>
    </row>
    <row r="2">
      <c r="A2" s="3" t="str">
        <f t="array" ref="A2">index('Data from Ocean'!B:B,match(B2,'Data from Ocean'!A:A,0))</f>
        <v>Internet Edge Solutions Inc.</v>
      </c>
      <c r="I2" s="27">
        <f t="array" ref="I2">index('Original Spreadsheet'!J:J,match(B2,'Original Spreadsheet'!A:A,0))</f>
        <v>883.2</v>
      </c>
      <c r="J2" s="27">
        <f t="array" ref="J2">index('Original Spreadsheet'!K:K,match(B2,'Original Spreadsheet'!A:A,0))</f>
        <v>2367.36</v>
      </c>
      <c r="K2" s="27">
        <f t="array" ref="K2">index('Original Spreadsheet'!E:E,match(B2,'Original Spreadsheet'!A:A,0))</f>
        <v>4903.96</v>
      </c>
      <c r="L2" s="27">
        <f t="shared" ref="L2:L47" si="1">H2-I2</f>
        <v>1484</v>
      </c>
      <c r="M2" s="28">
        <f t="shared" ref="M2:M46" si="2">(H2-I2)/I2</f>
        <v>1.680253623</v>
      </c>
      <c r="N2" s="28">
        <f t="shared" ref="N2:N47" si="3">L2/K2</f>
        <v>0.3026125825</v>
      </c>
      <c r="O2" s="29">
        <f t="array" ref="O2">index('Data from Ocean'!M:M,match(B2,'Data from Ocean'!A:A,0))</f>
        <v>7</v>
      </c>
    </row>
    <row r="3">
      <c r="A3" s="3" t="str">
        <f t="array" ref="A3">index('Data from Ocean'!B:B,match(B3,'Data from Ocean'!A:A,0))</f>
        <v>Kinetico</v>
      </c>
      <c r="I3" s="27">
        <f t="array" ref="I3">index('Original Spreadsheet'!J:J,match(B3,'Original Spreadsheet'!A:A,0))</f>
        <v>4121.6</v>
      </c>
      <c r="J3" s="27">
        <f t="array" ref="J3">index('Original Spreadsheet'!K:K,match(B3,'Original Spreadsheet'!A:A,0))</f>
        <v>5116.16</v>
      </c>
      <c r="K3" s="27">
        <f t="array" ref="K3">index('Original Spreadsheet'!E:E,match(B3,'Original Spreadsheet'!A:A,0))</f>
        <v>16815.19</v>
      </c>
      <c r="L3" s="27">
        <f t="shared" si="1"/>
        <v>612.8</v>
      </c>
      <c r="M3" s="28">
        <f t="shared" si="2"/>
        <v>0.1486801242</v>
      </c>
      <c r="N3" s="28">
        <f t="shared" si="3"/>
        <v>0.03644323971</v>
      </c>
      <c r="O3" s="29" t="str">
        <f t="array" ref="O3">index('Data from Ocean'!M:M,match(B3,'Data from Ocean'!A:A,0))</f>
        <v>7,8</v>
      </c>
    </row>
    <row r="4">
      <c r="A4" s="3" t="str">
        <f t="array" ref="A4">index('Data from Ocean'!B:B,match(B4,'Data from Ocean'!A:A,0))</f>
        <v>dbridge inc.</v>
      </c>
      <c r="I4" s="27">
        <f t="array" ref="I4">index('Original Spreadsheet'!J:J,match(B4,'Original Spreadsheet'!A:A,0))</f>
        <v>588.8</v>
      </c>
      <c r="J4" s="27">
        <f t="array" ref="J4">index('Original Spreadsheet'!K:K,match(B4,'Original Spreadsheet'!A:A,0))</f>
        <v>2760.96</v>
      </c>
      <c r="K4" s="27">
        <f t="array" ref="K4">index('Original Spreadsheet'!E:E,match(B4,'Original Spreadsheet'!A:A,0))</f>
        <v>5492.71</v>
      </c>
      <c r="L4" s="27">
        <f t="shared" si="1"/>
        <v>594.8</v>
      </c>
      <c r="M4" s="28">
        <f t="shared" si="2"/>
        <v>1.010190217</v>
      </c>
      <c r="N4" s="28">
        <f t="shared" si="3"/>
        <v>0.1082889867</v>
      </c>
      <c r="O4" s="29" t="str">
        <f t="array" ref="O4">index('Data from Ocean'!M:M,match(B4,'Data from Ocean'!A:A,0))</f>
        <v>7,8</v>
      </c>
    </row>
    <row r="5">
      <c r="A5" s="3" t="str">
        <f t="array" ref="A5">index('Data from Ocean'!B:B,match(B5,'Data from Ocean'!A:A,0))</f>
        <v>Nikon Instruments Inc.</v>
      </c>
      <c r="I5" s="27">
        <f t="array" ref="I5">index('Original Spreadsheet'!J:J,match(B5,'Original Spreadsheet'!A:A,0))</f>
        <v>294.4</v>
      </c>
      <c r="J5" s="27">
        <f t="array" ref="J5">index('Original Spreadsheet'!K:K,match(B5,'Original Spreadsheet'!A:A,0))</f>
        <v>539.36</v>
      </c>
      <c r="K5" s="27">
        <f t="array" ref="K5">index('Original Spreadsheet'!E:E,match(B5,'Original Spreadsheet'!A:A,0))</f>
        <v>3141.03</v>
      </c>
      <c r="L5" s="27">
        <f t="shared" si="1"/>
        <v>297.4</v>
      </c>
      <c r="M5" s="28">
        <f t="shared" si="2"/>
        <v>1.010190217</v>
      </c>
      <c r="N5" s="28">
        <f t="shared" si="3"/>
        <v>0.09468231758</v>
      </c>
      <c r="O5" s="29" t="str">
        <f t="array" ref="O5">index('Data from Ocean'!M:M,match(B5,'Data from Ocean'!A:A,0))</f>
        <v>7,8</v>
      </c>
    </row>
    <row r="6">
      <c r="A6" s="3" t="str">
        <f t="array" ref="A6">index('Data from Ocean'!B:B,match(B6,'Data from Ocean'!A:A,0))</f>
        <v>Global Maritime Transportation Services, Inc.</v>
      </c>
      <c r="I6" s="27">
        <f t="array" ref="I6">index('Original Spreadsheet'!J:J,match(B6,'Original Spreadsheet'!A:A,0))</f>
        <v>1766.4</v>
      </c>
      <c r="J6" s="27">
        <f t="array" ref="J6">index('Original Spreadsheet'!K:K,match(B6,'Original Spreadsheet'!A:A,0))</f>
        <v>2367.36</v>
      </c>
      <c r="K6" s="27">
        <f t="array" ref="K6">index('Original Spreadsheet'!E:E,match(B6,'Original Spreadsheet'!A:A,0))</f>
        <v>11895.83</v>
      </c>
      <c r="L6" s="27">
        <f t="shared" si="1"/>
        <v>600.8</v>
      </c>
      <c r="M6" s="28">
        <f t="shared" si="2"/>
        <v>0.3401268116</v>
      </c>
      <c r="N6" s="28">
        <f t="shared" si="3"/>
        <v>0.05050509296</v>
      </c>
      <c r="O6" s="29" t="str">
        <f t="array" ref="O6">index('Data from Ocean'!M:M,match(B6,'Data from Ocean'!A:A,0))</f>
        <v>7,8</v>
      </c>
    </row>
    <row r="7">
      <c r="A7" s="3" t="str">
        <f t="array" ref="A7">index('Data from Ocean'!B:B,match(B7,'Data from Ocean'!A:A,0))</f>
        <v>Supplier Solutions</v>
      </c>
      <c r="I7" s="27">
        <f t="array" ref="I7">index('Original Spreadsheet'!J:J,match(B7,'Original Spreadsheet'!A:A,0))</f>
        <v>3532.8</v>
      </c>
      <c r="J7" s="27">
        <f t="array" ref="J7">index('Original Spreadsheet'!K:K,match(B7,'Original Spreadsheet'!A:A,0))</f>
        <v>3532.8</v>
      </c>
      <c r="K7" s="27">
        <f t="array" ref="K7">index('Original Spreadsheet'!E:E,match(B7,'Original Spreadsheet'!A:A,0))</f>
        <v>32158.92</v>
      </c>
      <c r="L7" s="27">
        <f t="shared" si="1"/>
        <v>1201.6</v>
      </c>
      <c r="M7" s="28">
        <f t="shared" si="2"/>
        <v>0.3401268116</v>
      </c>
      <c r="N7" s="28">
        <f t="shared" si="3"/>
        <v>0.03736443886</v>
      </c>
      <c r="O7" s="29" t="str">
        <f t="array" ref="O7">index('Data from Ocean'!M:M,match(B7,'Data from Ocean'!A:A,0))</f>
        <v>7,8</v>
      </c>
    </row>
    <row r="8">
      <c r="A8" s="3" t="str">
        <f t="array" ref="A8">index('Data from Ocean'!B:B,match(B8,'Data from Ocean'!A:A,0))</f>
        <v>ViOptix, Inc. - PO # 1357</v>
      </c>
      <c r="I8" s="27">
        <f t="array" ref="I8">index('Original Spreadsheet'!J:J,match(B8,'Original Spreadsheet'!A:A,0))</f>
        <v>294.4</v>
      </c>
      <c r="J8" s="27">
        <f t="array" ref="J8">index('Original Spreadsheet'!K:K,match(B8,'Original Spreadsheet'!A:A,0))</f>
        <v>1183.68</v>
      </c>
      <c r="K8" s="27">
        <f t="array" ref="K8">index('Original Spreadsheet'!E:E,match(B8,'Original Spreadsheet'!A:A,0))</f>
        <v>2054.86</v>
      </c>
      <c r="L8" s="27">
        <f t="shared" si="1"/>
        <v>889.2</v>
      </c>
      <c r="M8" s="28">
        <f t="shared" si="2"/>
        <v>3.020380435</v>
      </c>
      <c r="N8" s="28">
        <f t="shared" si="3"/>
        <v>0.4327302103</v>
      </c>
      <c r="O8" s="29" t="str">
        <f t="array" ref="O8">index('Data from Ocean'!M:M,match(B8,'Data from Ocean'!A:A,0))</f>
        <v>7,8</v>
      </c>
    </row>
    <row r="9">
      <c r="A9" s="3" t="str">
        <f t="array" ref="A9">index('Data from Ocean'!B:B,match(B9,'Data from Ocean'!A:A,0))</f>
        <v>RepoSystems.Com Inc.</v>
      </c>
      <c r="I9" s="27">
        <f t="array" ref="I9">index('Original Spreadsheet'!J:J,match(B9,'Original Spreadsheet'!A:A,0))</f>
        <v>1766.4</v>
      </c>
      <c r="J9" s="27">
        <f t="array" ref="J9">index('Original Spreadsheet'!K:K,match(B9,'Original Spreadsheet'!A:A,0))</f>
        <v>2157.44</v>
      </c>
      <c r="K9" s="27">
        <f t="array" ref="K9">index('Original Spreadsheet'!E:E,match(B9,'Original Spreadsheet'!A:A,0))</f>
        <v>6856.46</v>
      </c>
      <c r="L9" s="27">
        <f t="shared" si="1"/>
        <v>600.8</v>
      </c>
      <c r="M9" s="28">
        <f t="shared" si="2"/>
        <v>0.3401268116</v>
      </c>
      <c r="N9" s="28">
        <f t="shared" si="3"/>
        <v>0.0876253927</v>
      </c>
      <c r="O9" s="29" t="str">
        <f t="array" ref="O9">index('Data from Ocean'!M:M,match(B9,'Data from Ocean'!A:A,0))</f>
        <v>7,8</v>
      </c>
    </row>
    <row r="10">
      <c r="A10" s="3" t="str">
        <f t="array" ref="A10">index('Data from Ocean'!B:B,match(B10,'Data from Ocean'!A:A,0))</f>
        <v>Enidus USA, LLC</v>
      </c>
      <c r="I10" s="27">
        <f t="array" ref="I10">index('Original Spreadsheet'!J:J,match(B10,'Original Spreadsheet'!A:A,0))</f>
        <v>2649.6</v>
      </c>
      <c r="J10" s="27">
        <f t="array" ref="J10">index('Original Spreadsheet'!K:K,match(B10,'Original Spreadsheet'!A:A,0))</f>
        <v>3551.04</v>
      </c>
      <c r="K10" s="27">
        <f t="array" ref="K10">index('Original Spreadsheet'!E:E,match(B10,'Original Spreadsheet'!A:A,0))</f>
        <v>24354.83</v>
      </c>
      <c r="L10" s="27">
        <f t="shared" si="1"/>
        <v>901.2</v>
      </c>
      <c r="M10" s="28">
        <f t="shared" si="2"/>
        <v>0.3401268116</v>
      </c>
      <c r="N10" s="28">
        <f t="shared" si="3"/>
        <v>0.03700292714</v>
      </c>
      <c r="O10" s="29" t="str">
        <f t="array" ref="O10">index('Data from Ocean'!M:M,match(B10,'Data from Ocean'!A:A,0))</f>
        <v>7,8</v>
      </c>
    </row>
    <row r="11">
      <c r="A11" s="3" t="str">
        <f t="array" ref="A11">index('Data from Ocean'!B:B,match(B11,'Data from Ocean'!A:A,0))</f>
        <v>Arctrieval, Inc</v>
      </c>
      <c r="I11" s="27">
        <f t="array" ref="I11">index('Original Spreadsheet'!J:J,match(B11,'Original Spreadsheet'!A:A,0))</f>
        <v>588.8</v>
      </c>
      <c r="J11" s="27">
        <f t="array" ref="J11">index('Original Spreadsheet'!K:K,match(B11,'Original Spreadsheet'!A:A,0))</f>
        <v>1078.72</v>
      </c>
      <c r="K11" s="27">
        <f t="array" ref="K11">index('Original Spreadsheet'!E:E,match(B11,'Original Spreadsheet'!A:A,0))</f>
        <v>3022.68</v>
      </c>
      <c r="L11" s="27">
        <f t="shared" si="1"/>
        <v>594.8</v>
      </c>
      <c r="M11" s="28">
        <f t="shared" si="2"/>
        <v>1.010190217</v>
      </c>
      <c r="N11" s="28">
        <f t="shared" si="3"/>
        <v>0.1967790173</v>
      </c>
      <c r="O11" s="29" t="str">
        <f t="array" ref="O11">index('Data from Ocean'!M:M,match(B11,'Data from Ocean'!A:A,0))</f>
        <v>7,8</v>
      </c>
    </row>
    <row r="12">
      <c r="A12" s="3" t="str">
        <f t="array" ref="A12">index('Data from Ocean'!B:B,match(B12,'Data from Ocean'!A:A,0))</f>
        <v>Engage People Inc.</v>
      </c>
      <c r="I12" s="27" t="str">
        <f t="array" ref="I12">index('Original Spreadsheet'!J:J,match(B12,'Original Spreadsheet'!A:A,0))</f>
        <v>#N/A</v>
      </c>
      <c r="J12" s="27" t="str">
        <f t="array" ref="J12">index('Original Spreadsheet'!K:K,match(B12,'Original Spreadsheet'!A:A,0))</f>
        <v>#N/A</v>
      </c>
      <c r="K12" s="27" t="str">
        <f t="array" ref="K12">index('Original Spreadsheet'!E:E,match(B12,'Original Spreadsheet'!A:A,0))</f>
        <v>#N/A</v>
      </c>
      <c r="L12" s="27" t="str">
        <f t="shared" si="1"/>
        <v>#N/A</v>
      </c>
      <c r="M12" s="28" t="str">
        <f t="shared" si="2"/>
        <v>#N/A</v>
      </c>
      <c r="N12" s="28" t="str">
        <f t="shared" si="3"/>
        <v>#N/A</v>
      </c>
      <c r="O12" s="29" t="str">
        <f t="array" ref="O12">index('Data from Ocean'!M:M,match(B12,'Data from Ocean'!A:A,0))</f>
        <v>7,8</v>
      </c>
    </row>
    <row r="13">
      <c r="A13" s="3" t="str">
        <f t="array" ref="A13">index('Data from Ocean'!B:B,match(B13,'Data from Ocean'!A:A,0))</f>
        <v>Adam Matthew Digital</v>
      </c>
      <c r="I13" s="27">
        <f t="array" ref="I13">index('Original Spreadsheet'!J:J,match(B13,'Original Spreadsheet'!A:A,0))</f>
        <v>2649.6</v>
      </c>
      <c r="J13" s="27">
        <f t="array" ref="J13">index('Original Spreadsheet'!K:K,match(B13,'Original Spreadsheet'!A:A,0))</f>
        <v>3551.04</v>
      </c>
      <c r="K13" s="27">
        <f t="array" ref="K13">index('Original Spreadsheet'!E:E,match(B13,'Original Spreadsheet'!A:A,0))</f>
        <v>31776.35</v>
      </c>
      <c r="L13" s="27">
        <f t="shared" si="1"/>
        <v>901.2</v>
      </c>
      <c r="M13" s="28">
        <f t="shared" si="2"/>
        <v>0.3401268116</v>
      </c>
      <c r="N13" s="28">
        <f t="shared" si="3"/>
        <v>0.02836071481</v>
      </c>
      <c r="O13" s="29" t="str">
        <f t="array" ref="O13">index('Data from Ocean'!M:M,match(B13,'Data from Ocean'!A:A,0))</f>
        <v>7,8</v>
      </c>
    </row>
    <row r="14">
      <c r="A14" s="3" t="str">
        <f t="array" ref="A14">index('Data from Ocean'!B:B,match(B14,'Data from Ocean'!A:A,0))</f>
        <v>ENTREGAS PUNTUALES S DE RL DE CV</v>
      </c>
      <c r="I14" s="27">
        <f t="array" ref="I14">index('Original Spreadsheet'!J:J,match(B14,'Original Spreadsheet'!A:A,0))</f>
        <v>1177.6</v>
      </c>
      <c r="J14" s="27">
        <f t="array" ref="J14">index('Original Spreadsheet'!K:K,match(B14,'Original Spreadsheet'!A:A,0))</f>
        <v>1380.48</v>
      </c>
      <c r="K14" s="27">
        <f t="array" ref="K14">index('Original Spreadsheet'!E:E,match(B14,'Original Spreadsheet'!A:A,0))</f>
        <v>1975.52</v>
      </c>
      <c r="L14" s="27">
        <f t="shared" si="1"/>
        <v>6</v>
      </c>
      <c r="M14" s="28">
        <f t="shared" si="2"/>
        <v>0.005095108696</v>
      </c>
      <c r="N14" s="28">
        <f t="shared" si="3"/>
        <v>0.003037175022</v>
      </c>
      <c r="O14" s="29" t="str">
        <f t="array" ref="O14">index('Data from Ocean'!M:M,match(B14,'Data from Ocean'!A:A,0))</f>
        <v>7,8</v>
      </c>
    </row>
    <row r="15">
      <c r="A15" s="3" t="str">
        <f t="array" ref="A15">index('Data from Ocean'!B:B,match(B15,'Data from Ocean'!A:A,0))</f>
        <v>#N/A</v>
      </c>
      <c r="I15" s="27" t="str">
        <f t="array" ref="I15">index('Original Spreadsheet'!J:J,match(B15,'Original Spreadsheet'!A:A,0))</f>
        <v>#N/A</v>
      </c>
      <c r="J15" s="27" t="str">
        <f t="array" ref="J15">index('Original Spreadsheet'!K:K,match(B15,'Original Spreadsheet'!A:A,0))</f>
        <v>#N/A</v>
      </c>
      <c r="K15" s="27" t="str">
        <f t="array" ref="K15">index('Original Spreadsheet'!E:E,match(B15,'Original Spreadsheet'!A:A,0))</f>
        <v>#N/A</v>
      </c>
      <c r="L15" s="27" t="str">
        <f t="shared" si="1"/>
        <v>#N/A</v>
      </c>
      <c r="M15" s="28" t="str">
        <f t="shared" si="2"/>
        <v>#N/A</v>
      </c>
      <c r="N15" s="28" t="str">
        <f t="shared" si="3"/>
        <v>#N/A</v>
      </c>
      <c r="O15" s="29" t="str">
        <f t="array" ref="O15">index('Data from Ocean'!M:M,match(B15,'Data from Ocean'!A:A,0))</f>
        <v>#N/A</v>
      </c>
    </row>
    <row r="16">
      <c r="A16" s="3" t="str">
        <f t="array" ref="A16">index('Data from Ocean'!B:B,match(B16,'Data from Ocean'!A:A,0))</f>
        <v>Blue Yonder Inc.</v>
      </c>
      <c r="I16" s="27">
        <f t="array" ref="I16">index('Original Spreadsheet'!J:J,match(B16,'Original Spreadsheet'!A:A,0))</f>
        <v>2355.2</v>
      </c>
      <c r="J16" s="27">
        <f t="array" ref="J16">index('Original Spreadsheet'!K:K,match(B16,'Original Spreadsheet'!A:A,0))</f>
        <v>4734.72</v>
      </c>
      <c r="K16" s="27">
        <f t="array" ref="K16">index('Original Spreadsheet'!E:E,match(B16,'Original Spreadsheet'!A:A,0))</f>
        <v>34691.23</v>
      </c>
      <c r="L16" s="27">
        <f t="shared" si="1"/>
        <v>2379.2</v>
      </c>
      <c r="M16" s="28">
        <f t="shared" si="2"/>
        <v>1.010190217</v>
      </c>
      <c r="N16" s="28">
        <f t="shared" si="3"/>
        <v>0.0685821748</v>
      </c>
      <c r="O16" s="29">
        <f t="array" ref="O16">index('Data from Ocean'!M:M,match(B16,'Data from Ocean'!A:A,0))</f>
        <v>7</v>
      </c>
    </row>
    <row r="17">
      <c r="A17" s="3" t="str">
        <f t="array" ref="A17">index('Data from Ocean'!B:B,match(B17,'Data from Ocean'!A:A,0))</f>
        <v>Nomad Digital Inc.</v>
      </c>
      <c r="I17" s="27">
        <f t="array" ref="I17">index('Original Spreadsheet'!J:J,match(B17,'Original Spreadsheet'!A:A,0))</f>
        <v>4121.6</v>
      </c>
      <c r="J17" s="27">
        <f t="array" ref="J17">index('Original Spreadsheet'!K:K,match(B17,'Original Spreadsheet'!A:A,0))</f>
        <v>4821.76</v>
      </c>
      <c r="K17" s="27">
        <f t="array" ref="K17">index('Original Spreadsheet'!E:E,match(B17,'Original Spreadsheet'!A:A,0))</f>
        <v>12250.03</v>
      </c>
      <c r="L17" s="27">
        <f t="shared" si="1"/>
        <v>-570.8</v>
      </c>
      <c r="M17" s="28">
        <f t="shared" si="2"/>
        <v>-0.1384899068</v>
      </c>
      <c r="N17" s="28">
        <f t="shared" si="3"/>
        <v>-0.04659580426</v>
      </c>
      <c r="O17" s="29" t="str">
        <f t="array" ref="O17">index('Data from Ocean'!M:M,match(B17,'Data from Ocean'!A:A,0))</f>
        <v>7,8</v>
      </c>
    </row>
    <row r="18">
      <c r="A18" s="3" t="str">
        <f t="array" ref="A18">index('Data from Ocean'!B:B,match(B18,'Data from Ocean'!A:A,0))</f>
        <v>Cenovus Energy Inc.</v>
      </c>
      <c r="I18" s="27">
        <f t="array" ref="I18">index('Original Spreadsheet'!J:J,match(B18,'Original Spreadsheet'!A:A,0))</f>
        <v>588.8</v>
      </c>
      <c r="J18" s="27">
        <f t="array" ref="J18">index('Original Spreadsheet'!K:K,match(B18,'Original Spreadsheet'!A:A,0))</f>
        <v>2367.36</v>
      </c>
      <c r="K18" s="27">
        <f t="array" ref="K18">index('Original Spreadsheet'!E:E,match(B18,'Original Spreadsheet'!A:A,0))</f>
        <v>3390.67</v>
      </c>
      <c r="L18" s="27">
        <f t="shared" si="1"/>
        <v>1778.4</v>
      </c>
      <c r="M18" s="28">
        <f t="shared" si="2"/>
        <v>3.020380435</v>
      </c>
      <c r="N18" s="28">
        <f t="shared" si="3"/>
        <v>0.524498108</v>
      </c>
      <c r="O18" s="29">
        <f t="array" ref="O18">index('Data from Ocean'!M:M,match(B18,'Data from Ocean'!A:A,0))</f>
        <v>7</v>
      </c>
    </row>
    <row r="19">
      <c r="A19" s="3" t="str">
        <f t="array" ref="A19">index('Data from Ocean'!B:B,match(B19,'Data from Ocean'!A:A,0))</f>
        <v>Better Impact Inc.</v>
      </c>
      <c r="I19" s="27">
        <f t="array" ref="I19">index('Original Spreadsheet'!J:J,match(B19,'Original Spreadsheet'!A:A,0))</f>
        <v>2649.6</v>
      </c>
      <c r="J19" s="27">
        <f t="array" ref="J19">index('Original Spreadsheet'!K:K,match(B19,'Original Spreadsheet'!A:A,0))</f>
        <v>3551.04</v>
      </c>
      <c r="K19" s="27">
        <f t="array" ref="K19">index('Original Spreadsheet'!E:E,match(B19,'Original Spreadsheet'!A:A,0))</f>
        <v>14554.67</v>
      </c>
      <c r="L19" s="27">
        <f t="shared" si="1"/>
        <v>901.2</v>
      </c>
      <c r="M19" s="28">
        <f t="shared" si="2"/>
        <v>0.3401268116</v>
      </c>
      <c r="N19" s="28">
        <f t="shared" si="3"/>
        <v>0.06191827091</v>
      </c>
      <c r="O19" s="29" t="str">
        <f t="array" ref="O19">index('Data from Ocean'!M:M,match(B19,'Data from Ocean'!A:A,0))</f>
        <v>7,8</v>
      </c>
    </row>
    <row r="20">
      <c r="A20" s="3" t="str">
        <f t="array" ref="A20">index('Data from Ocean'!B:B,match(B20,'Data from Ocean'!A:A,0))</f>
        <v>Premia Solutions Limited</v>
      </c>
      <c r="I20" s="27">
        <f t="array" ref="I20">index('Original Spreadsheet'!J:J,match(B20,'Original Spreadsheet'!A:A,0))</f>
        <v>2649.6</v>
      </c>
      <c r="J20" s="27">
        <f t="array" ref="J20">index('Original Spreadsheet'!K:K,match(B20,'Original Spreadsheet'!A:A,0))</f>
        <v>6682.24</v>
      </c>
      <c r="K20" s="27">
        <f t="array" ref="K20">index('Original Spreadsheet'!E:E,match(B20,'Original Spreadsheet'!A:A,0))</f>
        <v>36688.43</v>
      </c>
      <c r="L20" s="27">
        <f t="shared" si="1"/>
        <v>4452</v>
      </c>
      <c r="M20" s="28">
        <f t="shared" si="2"/>
        <v>1.680253623</v>
      </c>
      <c r="N20" s="28">
        <f t="shared" si="3"/>
        <v>0.1213461574</v>
      </c>
      <c r="O20" s="29" t="str">
        <f t="array" ref="O20">index('Data from Ocean'!M:M,match(B20,'Data from Ocean'!A:A,0))</f>
        <v>7,8</v>
      </c>
    </row>
    <row r="21">
      <c r="A21" s="3" t="str">
        <f t="array" ref="A21">index('Data from Ocean'!B:B,match(B21,'Data from Ocean'!A:A,0))</f>
        <v>Vanquis</v>
      </c>
      <c r="I21" s="27">
        <f t="array" ref="I21">index('Original Spreadsheet'!J:J,match(B21,'Original Spreadsheet'!A:A,0))</f>
        <v>1177.6</v>
      </c>
      <c r="J21" s="27">
        <f t="array" ref="J21">index('Original Spreadsheet'!K:K,match(B21,'Original Spreadsheet'!A:A,0))</f>
        <v>2157.44</v>
      </c>
      <c r="K21" s="27">
        <f t="array" ref="K21">index('Original Spreadsheet'!E:E,match(B21,'Original Spreadsheet'!A:A,0))</f>
        <v>15137.13</v>
      </c>
      <c r="L21" s="27">
        <f t="shared" si="1"/>
        <v>1189.6</v>
      </c>
      <c r="M21" s="28">
        <f t="shared" si="2"/>
        <v>1.010190217</v>
      </c>
      <c r="N21" s="28">
        <f t="shared" si="3"/>
        <v>0.07858821322</v>
      </c>
      <c r="O21" s="29" t="str">
        <f t="array" ref="O21">index('Data from Ocean'!M:M,match(B21,'Data from Ocean'!A:A,0))</f>
        <v>7,8</v>
      </c>
    </row>
    <row r="22">
      <c r="A22" s="3" t="str">
        <f t="array" ref="A22">index('Data from Ocean'!B:B,match(B22,'Data from Ocean'!A:A,0))</f>
        <v>Townsquare Media</v>
      </c>
      <c r="I22" s="27">
        <f t="array" ref="I22">index('Original Spreadsheet'!J:J,match(B22,'Original Spreadsheet'!A:A,0))</f>
        <v>883.2</v>
      </c>
      <c r="J22" s="27">
        <f t="array" ref="J22">index('Original Spreadsheet'!K:K,match(B22,'Original Spreadsheet'!A:A,0))</f>
        <v>1183.68</v>
      </c>
      <c r="K22" s="27">
        <f t="array" ref="K22">index('Original Spreadsheet'!E:E,match(B22,'Original Spreadsheet'!A:A,0))</f>
        <v>103052.9</v>
      </c>
      <c r="L22" s="27">
        <f t="shared" si="1"/>
        <v>300.4</v>
      </c>
      <c r="M22" s="28">
        <f t="shared" si="2"/>
        <v>0.3401268116</v>
      </c>
      <c r="N22" s="28">
        <f t="shared" si="3"/>
        <v>0.002915007729</v>
      </c>
      <c r="O22" s="29" t="str">
        <f t="array" ref="O22">index('Data from Ocean'!M:M,match(B22,'Data from Ocean'!A:A,0))</f>
        <v>7,8</v>
      </c>
    </row>
    <row r="23">
      <c r="A23" s="3" t="str">
        <f t="array" ref="A23">index('Data from Ocean'!B:B,match(B23,'Data from Ocean'!A:A,0))</f>
        <v>Fermi Investments</v>
      </c>
      <c r="I23" s="27">
        <f t="array" ref="I23">index('Original Spreadsheet'!J:J,match(B23,'Original Spreadsheet'!A:A,0))</f>
        <v>441.6</v>
      </c>
      <c r="J23" s="27">
        <f t="array" ref="J23">index('Original Spreadsheet'!K:K,match(B23,'Original Spreadsheet'!A:A,0))</f>
        <v>1380.48</v>
      </c>
      <c r="K23" s="27">
        <f t="array" ref="K23">index('Original Spreadsheet'!E:E,match(B23,'Original Spreadsheet'!A:A,0))</f>
        <v>4714.05</v>
      </c>
      <c r="L23" s="27">
        <f t="shared" si="1"/>
        <v>742</v>
      </c>
      <c r="M23" s="28">
        <f t="shared" si="2"/>
        <v>1.680253623</v>
      </c>
      <c r="N23" s="28">
        <f t="shared" si="3"/>
        <v>0.1574018095</v>
      </c>
      <c r="O23" s="29" t="str">
        <f t="array" ref="O23">index('Data from Ocean'!M:M,match(B23,'Data from Ocean'!A:A,0))</f>
        <v>7,8</v>
      </c>
    </row>
    <row r="24">
      <c r="A24" s="3" t="str">
        <f t="array" ref="A24">index('Data from Ocean'!B:B,match(B24,'Data from Ocean'!A:A,0))</f>
        <v>Netintegrity Inc</v>
      </c>
      <c r="I24" s="27">
        <f t="array" ref="I24">index('Original Spreadsheet'!J:J,match(B24,'Original Spreadsheet'!A:A,0))</f>
        <v>3532.8</v>
      </c>
      <c r="J24" s="27">
        <f t="array" ref="J24">index('Original Spreadsheet'!K:K,match(B24,'Original Spreadsheet'!A:A,0))</f>
        <v>4012.8</v>
      </c>
      <c r="K24" s="27">
        <f t="array" ref="K24">index('Original Spreadsheet'!E:E,match(B24,'Original Spreadsheet'!A:A,0))</f>
        <v>17297.5</v>
      </c>
      <c r="L24" s="27">
        <f t="shared" si="1"/>
        <v>1201.6</v>
      </c>
      <c r="M24" s="28">
        <f t="shared" si="2"/>
        <v>0.3401268116</v>
      </c>
      <c r="N24" s="28">
        <f t="shared" si="3"/>
        <v>0.06946668594</v>
      </c>
      <c r="O24" s="29" t="str">
        <f t="array" ref="O24">index('Data from Ocean'!M:M,match(B24,'Data from Ocean'!A:A,0))</f>
        <v>7,8</v>
      </c>
    </row>
    <row r="25">
      <c r="A25" s="3" t="str">
        <f t="array" ref="A25">index('Data from Ocean'!B:B,match(B25,'Data from Ocean'!A:A,0))</f>
        <v>CITYWAY</v>
      </c>
      <c r="I25" s="27">
        <f t="array" ref="I25">index('Original Spreadsheet'!J:J,match(B25,'Original Spreadsheet'!A:A,0))</f>
        <v>1177.6</v>
      </c>
      <c r="J25" s="27">
        <f t="array" ref="J25">index('Original Spreadsheet'!K:K,match(B25,'Original Spreadsheet'!A:A,0))</f>
        <v>4734.72</v>
      </c>
      <c r="K25" s="27">
        <f t="array" ref="K25">index('Original Spreadsheet'!E:E,match(B25,'Original Spreadsheet'!A:A,0))</f>
        <v>10786</v>
      </c>
      <c r="L25" s="27">
        <f t="shared" si="1"/>
        <v>3556.8</v>
      </c>
      <c r="M25" s="28">
        <f t="shared" si="2"/>
        <v>3.020380435</v>
      </c>
      <c r="N25" s="28">
        <f t="shared" si="3"/>
        <v>0.329760801</v>
      </c>
      <c r="O25" s="29" t="str">
        <f t="array" ref="O25">index('Data from Ocean'!M:M,match(B25,'Data from Ocean'!A:A,0))</f>
        <v>7,8</v>
      </c>
    </row>
    <row r="26">
      <c r="A26" s="3" t="str">
        <f t="array" ref="A26">index('Data from Ocean'!B:B,match(B26,'Data from Ocean'!A:A,0))</f>
        <v>Currencies Direct Ltd</v>
      </c>
      <c r="I26" s="27">
        <f t="array" ref="I26">index('Original Spreadsheet'!J:J,match(B26,'Original Spreadsheet'!A:A,0))</f>
        <v>588.8</v>
      </c>
      <c r="J26" s="27">
        <f t="array" ref="J26">index('Original Spreadsheet'!K:K,match(B26,'Original Spreadsheet'!A:A,0))</f>
        <v>2760.96</v>
      </c>
      <c r="K26" s="27">
        <f t="array" ref="K26">index('Original Spreadsheet'!E:E,match(B26,'Original Spreadsheet'!A:A,0))</f>
        <v>2789.61</v>
      </c>
      <c r="L26" s="27">
        <f t="shared" si="1"/>
        <v>1778.4</v>
      </c>
      <c r="M26" s="28">
        <f t="shared" si="2"/>
        <v>3.020380435</v>
      </c>
      <c r="N26" s="28">
        <f t="shared" si="3"/>
        <v>0.6375084689</v>
      </c>
      <c r="O26" s="29">
        <f t="array" ref="O26">index('Data from Ocean'!M:M,match(B26,'Data from Ocean'!A:A,0))</f>
        <v>7</v>
      </c>
    </row>
    <row r="27">
      <c r="A27" s="3" t="str">
        <f t="array" ref="A27">index('Data from Ocean'!B:B,match(B27,'Data from Ocean'!A:A,0))</f>
        <v>Ministry of Education Jamaica</v>
      </c>
      <c r="I27" s="27">
        <f t="array" ref="I27">index('Original Spreadsheet'!J:J,match(B27,'Original Spreadsheet'!A:A,0))</f>
        <v>1766.4</v>
      </c>
      <c r="J27" s="27">
        <f t="array" ref="J27">index('Original Spreadsheet'!K:K,match(B27,'Original Spreadsheet'!A:A,0))</f>
        <v>3236.16</v>
      </c>
      <c r="K27" s="27">
        <f t="array" ref="K27">index('Original Spreadsheet'!E:E,match(B27,'Original Spreadsheet'!A:A,0))</f>
        <v>13520.99</v>
      </c>
      <c r="L27" s="27">
        <f t="shared" si="1"/>
        <v>600.8</v>
      </c>
      <c r="M27" s="28">
        <f t="shared" si="2"/>
        <v>0.3401268116</v>
      </c>
      <c r="N27" s="28">
        <f t="shared" si="3"/>
        <v>0.0444346161</v>
      </c>
      <c r="O27" s="29" t="str">
        <f t="array" ref="O27">index('Data from Ocean'!M:M,match(B27,'Data from Ocean'!A:A,0))</f>
        <v>7,8</v>
      </c>
    </row>
    <row r="28">
      <c r="A28" s="3" t="str">
        <f t="array" ref="A28">index('Data from Ocean'!B:B,match(B28,'Data from Ocean'!A:A,0))</f>
        <v>Star One Credit Union</v>
      </c>
      <c r="I28" s="27">
        <f t="array" ref="I28">index('Original Spreadsheet'!J:J,match(B28,'Original Spreadsheet'!A:A,0))</f>
        <v>2355.2</v>
      </c>
      <c r="J28" s="27">
        <f t="array" ref="J28">index('Original Spreadsheet'!K:K,match(B28,'Original Spreadsheet'!A:A,0))</f>
        <v>3551.04</v>
      </c>
      <c r="K28" s="27">
        <f t="array" ref="K28">index('Original Spreadsheet'!E:E,match(B28,'Original Spreadsheet'!A:A,0))</f>
        <v>11303.23</v>
      </c>
      <c r="L28" s="27">
        <f t="shared" si="1"/>
        <v>1195.6</v>
      </c>
      <c r="M28" s="28">
        <f t="shared" si="2"/>
        <v>0.507642663</v>
      </c>
      <c r="N28" s="28">
        <f t="shared" si="3"/>
        <v>0.1057750749</v>
      </c>
      <c r="O28" s="29" t="str">
        <f t="array" ref="O28">index('Data from Ocean'!M:M,match(B28,'Data from Ocean'!A:A,0))</f>
        <v>7,8</v>
      </c>
    </row>
    <row r="29">
      <c r="A29" s="3" t="str">
        <f t="array" ref="A29">index('Data from Ocean'!B:B,match(B29,'Data from Ocean'!A:A,0))</f>
        <v>20-20 Technologies inc.</v>
      </c>
      <c r="I29" s="27">
        <f t="array" ref="I29">index('Original Spreadsheet'!J:J,match(B29,'Original Spreadsheet'!A:A,0))</f>
        <v>588.8</v>
      </c>
      <c r="J29" s="27">
        <f t="array" ref="J29">index('Original Spreadsheet'!K:K,match(B29,'Original Spreadsheet'!A:A,0))</f>
        <v>2760.96</v>
      </c>
      <c r="K29" s="27">
        <f t="array" ref="K29">index('Original Spreadsheet'!E:E,match(B29,'Original Spreadsheet'!A:A,0))</f>
        <v>9925.4</v>
      </c>
      <c r="L29" s="27">
        <f t="shared" si="1"/>
        <v>1778.4</v>
      </c>
      <c r="M29" s="28">
        <f t="shared" si="2"/>
        <v>3.020380435</v>
      </c>
      <c r="N29" s="28">
        <f t="shared" si="3"/>
        <v>0.1791766579</v>
      </c>
      <c r="O29" s="29">
        <f t="array" ref="O29">index('Data from Ocean'!M:M,match(B29,'Data from Ocean'!A:A,0))</f>
        <v>7</v>
      </c>
    </row>
    <row r="30">
      <c r="A30" s="3" t="str">
        <f t="array" ref="A30">index('Data from Ocean'!B:B,match(B30,'Data from Ocean'!A:A,0))</f>
        <v>Heilind Electronics, Inc.</v>
      </c>
      <c r="I30" s="27">
        <f t="array" ref="I30">index('Original Spreadsheet'!J:J,match(B30,'Original Spreadsheet'!A:A,0))</f>
        <v>14131.2</v>
      </c>
      <c r="J30" s="27">
        <f t="array" ref="J30">index('Original Spreadsheet'!K:K,match(B30,'Original Spreadsheet'!A:A,0))</f>
        <v>14131.2</v>
      </c>
      <c r="K30" s="27">
        <f t="array" ref="K30">index('Original Spreadsheet'!E:E,match(B30,'Original Spreadsheet'!A:A,0))</f>
        <v>57866.32</v>
      </c>
      <c r="L30" s="27">
        <f t="shared" si="1"/>
        <v>-7029.6</v>
      </c>
      <c r="M30" s="28">
        <f t="shared" si="2"/>
        <v>-0.4974524457</v>
      </c>
      <c r="N30" s="28">
        <f t="shared" si="3"/>
        <v>-0.1214799904</v>
      </c>
      <c r="O30" s="29" t="str">
        <f t="array" ref="O30">index('Data from Ocean'!M:M,match(B30,'Data from Ocean'!A:A,0))</f>
        <v>7,8</v>
      </c>
    </row>
    <row r="31">
      <c r="A31" s="3" t="str">
        <f t="array" ref="A31">index('Data from Ocean'!B:B,match(B31,'Data from Ocean'!A:A,0))</f>
        <v>eMetrix Systems, LLC</v>
      </c>
      <c r="I31" s="27">
        <f t="array" ref="I31">index('Original Spreadsheet'!J:J,match(B31,'Original Spreadsheet'!A:A,0))</f>
        <v>588.8</v>
      </c>
      <c r="J31" s="27">
        <f t="array" ref="J31">index('Original Spreadsheet'!K:K,match(B31,'Original Spreadsheet'!A:A,0))</f>
        <v>1078.72</v>
      </c>
      <c r="K31" s="27">
        <f t="array" ref="K31">index('Original Spreadsheet'!E:E,match(B31,'Original Spreadsheet'!A:A,0))</f>
        <v>3086.46</v>
      </c>
      <c r="L31" s="27">
        <f t="shared" si="1"/>
        <v>594.8</v>
      </c>
      <c r="M31" s="28">
        <f t="shared" si="2"/>
        <v>1.010190217</v>
      </c>
      <c r="N31" s="28">
        <f t="shared" si="3"/>
        <v>0.192712687</v>
      </c>
      <c r="O31" s="29" t="str">
        <f t="array" ref="O31">index('Data from Ocean'!M:M,match(B31,'Data from Ocean'!A:A,0))</f>
        <v>7,8</v>
      </c>
    </row>
    <row r="32">
      <c r="A32" s="3" t="str">
        <f t="array" ref="A32">index('Data from Ocean'!B:B,match(B32,'Data from Ocean'!A:A,0))</f>
        <v>BCOM 2000 HOLDINGS PTY LTD</v>
      </c>
      <c r="I32" s="27">
        <f t="array" ref="I32">index('Original Spreadsheet'!J:J,match(B32,'Original Spreadsheet'!A:A,0))</f>
        <v>588.8</v>
      </c>
      <c r="J32" s="27">
        <f t="array" ref="J32">index('Original Spreadsheet'!K:K,match(B32,'Original Spreadsheet'!A:A,0))</f>
        <v>1078.72</v>
      </c>
      <c r="K32" s="27">
        <f t="array" ref="K32">index('Original Spreadsheet'!E:E,match(B32,'Original Spreadsheet'!A:A,0))</f>
        <v>3183.86</v>
      </c>
      <c r="L32" s="27">
        <f t="shared" si="1"/>
        <v>594.8</v>
      </c>
      <c r="M32" s="28">
        <f t="shared" si="2"/>
        <v>1.010190217</v>
      </c>
      <c r="N32" s="28">
        <f t="shared" si="3"/>
        <v>0.1868172596</v>
      </c>
      <c r="O32" s="29" t="str">
        <f t="array" ref="O32">index('Data from Ocean'!M:M,match(B32,'Data from Ocean'!A:A,0))</f>
        <v>7,8</v>
      </c>
    </row>
    <row r="33">
      <c r="A33" s="3" t="str">
        <f t="array" ref="A33">index('Data from Ocean'!B:B,match(B33,'Data from Ocean'!A:A,0))</f>
        <v>Granite REIT Holdings Limited Partnership</v>
      </c>
      <c r="I33" s="27">
        <f t="array" ref="I33">index('Original Spreadsheet'!J:J,match(B33,'Original Spreadsheet'!A:A,0))</f>
        <v>1766.4</v>
      </c>
      <c r="J33" s="27">
        <f t="array" ref="J33">index('Original Spreadsheet'!K:K,match(B33,'Original Spreadsheet'!A:A,0))</f>
        <v>2157.44</v>
      </c>
      <c r="K33" s="27">
        <f t="array" ref="K33">index('Original Spreadsheet'!E:E,match(B33,'Original Spreadsheet'!A:A,0))</f>
        <v>26395.52</v>
      </c>
      <c r="L33" s="27">
        <f t="shared" si="1"/>
        <v>600.8</v>
      </c>
      <c r="M33" s="28">
        <f t="shared" si="2"/>
        <v>0.3401268116</v>
      </c>
      <c r="N33" s="28">
        <f t="shared" si="3"/>
        <v>0.0227614383</v>
      </c>
      <c r="O33" s="29" t="str">
        <f t="array" ref="O33">index('Data from Ocean'!M:M,match(B33,'Data from Ocean'!A:A,0))</f>
        <v>7,8</v>
      </c>
    </row>
    <row r="34">
      <c r="A34" s="3" t="str">
        <f t="array" ref="A34">index('Data from Ocean'!B:B,match(B34,'Data from Ocean'!A:A,0))</f>
        <v>Collins Trucking Company, Inc</v>
      </c>
      <c r="I34" s="27">
        <f t="array" ref="I34">index('Original Spreadsheet'!J:J,match(B34,'Original Spreadsheet'!A:A,0))</f>
        <v>1177.6</v>
      </c>
      <c r="J34" s="27">
        <f t="array" ref="J34">index('Original Spreadsheet'!K:K,match(B34,'Original Spreadsheet'!A:A,0))</f>
        <v>2006.4</v>
      </c>
      <c r="K34" s="27">
        <f t="array" ref="K34">index('Original Spreadsheet'!E:E,match(B34,'Original Spreadsheet'!A:A,0))</f>
        <v>8683.68</v>
      </c>
      <c r="L34" s="27">
        <f t="shared" si="1"/>
        <v>1189.6</v>
      </c>
      <c r="M34" s="28">
        <f t="shared" si="2"/>
        <v>1.010190217</v>
      </c>
      <c r="N34" s="28">
        <f t="shared" si="3"/>
        <v>0.1369926114</v>
      </c>
      <c r="O34" s="29" t="str">
        <f t="array" ref="O34">index('Data from Ocean'!M:M,match(B34,'Data from Ocean'!A:A,0))</f>
        <v>7,8</v>
      </c>
    </row>
    <row r="35">
      <c r="A35" s="3" t="str">
        <f t="array" ref="A35">index('Data from Ocean'!B:B,match(B35,'Data from Ocean'!A:A,0))</f>
        <v>HYTECK, SA d/b/a AROMA ZONE</v>
      </c>
      <c r="I35" s="27">
        <f t="array" ref="I35">index('Original Spreadsheet'!J:J,match(B35,'Original Spreadsheet'!A:A,0))</f>
        <v>5888</v>
      </c>
      <c r="J35" s="27">
        <f t="array" ref="J35">index('Original Spreadsheet'!K:K,match(B35,'Original Spreadsheet'!A:A,0))</f>
        <v>5888</v>
      </c>
      <c r="K35" s="27">
        <f t="array" ref="K35">index('Original Spreadsheet'!E:E,match(B35,'Original Spreadsheet'!A:A,0))</f>
        <v>83524.67</v>
      </c>
      <c r="L35" s="27">
        <f t="shared" si="1"/>
        <v>-2337.2</v>
      </c>
      <c r="M35" s="28">
        <f t="shared" si="2"/>
        <v>-0.3969429348</v>
      </c>
      <c r="N35" s="28">
        <f t="shared" si="3"/>
        <v>-0.02798215186</v>
      </c>
      <c r="O35" s="29">
        <f t="array" ref="O35">index('Data from Ocean'!M:M,match(B35,'Data from Ocean'!A:A,0))</f>
        <v>7</v>
      </c>
    </row>
    <row r="36">
      <c r="A36" s="3" t="str">
        <f t="array" ref="A36">index('Data from Ocean'!B:B,match(B36,'Data from Ocean'!A:A,0))</f>
        <v>Combined Metal Industries Inc</v>
      </c>
      <c r="I36" s="27">
        <f t="array" ref="I36">index('Original Spreadsheet'!J:J,match(B36,'Original Spreadsheet'!A:A,0))</f>
        <v>3827.2</v>
      </c>
      <c r="J36" s="27">
        <f t="array" ref="J36">index('Original Spreadsheet'!K:K,match(B36,'Original Spreadsheet'!A:A,0))</f>
        <v>3827.2</v>
      </c>
      <c r="K36" s="27">
        <f t="array" ref="K36">index('Original Spreadsheet'!E:E,match(B36,'Original Spreadsheet'!A:A,0))</f>
        <v>31001.11</v>
      </c>
      <c r="L36" s="27">
        <f t="shared" si="1"/>
        <v>-1460</v>
      </c>
      <c r="M36" s="28">
        <f t="shared" si="2"/>
        <v>-0.3814799331</v>
      </c>
      <c r="N36" s="28">
        <f t="shared" si="3"/>
        <v>-0.04709508789</v>
      </c>
      <c r="O36" s="29">
        <f t="array" ref="O36">index('Data from Ocean'!M:M,match(B36,'Data from Ocean'!A:A,0))</f>
        <v>7</v>
      </c>
    </row>
    <row r="37">
      <c r="A37" s="3" t="str">
        <f t="array" ref="A37">index('Data from Ocean'!B:B,match(B37,'Data from Ocean'!A:A,0))</f>
        <v>Chicken Farmers Of Ontario</v>
      </c>
      <c r="I37" s="27">
        <f t="array" ref="I37">index('Original Spreadsheet'!J:J,match(B37,'Original Spreadsheet'!A:A,0))</f>
        <v>2060.8</v>
      </c>
      <c r="J37" s="27">
        <f t="array" ref="J37">index('Original Spreadsheet'!K:K,match(B37,'Original Spreadsheet'!A:A,0))</f>
        <v>4438.8</v>
      </c>
      <c r="K37" s="27">
        <f t="array" ref="K37">index('Original Spreadsheet'!E:E,match(B37,'Original Spreadsheet'!A:A,0))</f>
        <v>20817.95</v>
      </c>
      <c r="L37" s="27">
        <f t="shared" si="1"/>
        <v>2377.76</v>
      </c>
      <c r="M37" s="28">
        <f t="shared" si="2"/>
        <v>1.153804348</v>
      </c>
      <c r="N37" s="28">
        <f t="shared" si="3"/>
        <v>0.1142168177</v>
      </c>
      <c r="O37" s="29" t="str">
        <f t="array" ref="O37">index('Data from Ocean'!M:M,match(B37,'Data from Ocean'!A:A,0))</f>
        <v>7,8</v>
      </c>
    </row>
    <row r="38">
      <c r="A38" s="3" t="str">
        <f t="array" ref="A38">index('Data from Ocean'!B:B,match(B38,'Data from Ocean'!A:A,0))</f>
        <v>Chestnut Health System, Inc.</v>
      </c>
      <c r="I38" s="27" t="str">
        <f t="array" ref="I38">index('Original Spreadsheet'!J:J,match(B38,'Original Spreadsheet'!A:A,0))</f>
        <v>#N/A</v>
      </c>
      <c r="J38" s="27" t="str">
        <f t="array" ref="J38">index('Original Spreadsheet'!K:K,match(B38,'Original Spreadsheet'!A:A,0))</f>
        <v>#N/A</v>
      </c>
      <c r="K38" s="27" t="str">
        <f t="array" ref="K38">index('Original Spreadsheet'!E:E,match(B38,'Original Spreadsheet'!A:A,0))</f>
        <v>#N/A</v>
      </c>
      <c r="L38" s="27" t="str">
        <f t="shared" si="1"/>
        <v>#N/A</v>
      </c>
      <c r="M38" s="28" t="str">
        <f t="shared" si="2"/>
        <v>#N/A</v>
      </c>
      <c r="N38" s="28" t="str">
        <f t="shared" si="3"/>
        <v>#N/A</v>
      </c>
      <c r="O38" s="29" t="str">
        <f t="array" ref="O38">index('Data from Ocean'!M:M,match(B38,'Data from Ocean'!A:A,0))</f>
        <v>7,8</v>
      </c>
    </row>
    <row r="39">
      <c r="A39" s="3" t="str">
        <f t="array" ref="A39">index('Data from Ocean'!B:B,match(B39,'Data from Ocean'!A:A,0))</f>
        <v>Currency Stream International Limited</v>
      </c>
      <c r="I39" s="27">
        <f t="array" ref="I39">index('Original Spreadsheet'!J:J,match(B39,'Original Spreadsheet'!A:A,0))</f>
        <v>1177.6</v>
      </c>
      <c r="J39" s="27">
        <f t="array" ref="J39">index('Original Spreadsheet'!K:K,match(B39,'Original Spreadsheet'!A:A,0))</f>
        <v>2760.96</v>
      </c>
      <c r="K39" s="27">
        <f t="array" ref="K39">index('Original Spreadsheet'!E:E,match(B39,'Original Spreadsheet'!A:A,0))</f>
        <v>8334.84</v>
      </c>
      <c r="L39" s="27">
        <f t="shared" si="1"/>
        <v>1189.6</v>
      </c>
      <c r="M39" s="28">
        <f t="shared" si="2"/>
        <v>1.010190217</v>
      </c>
      <c r="N39" s="28">
        <f t="shared" si="3"/>
        <v>0.1427261951</v>
      </c>
      <c r="O39" s="29" t="str">
        <f t="array" ref="O39">index('Data from Ocean'!M:M,match(B39,'Data from Ocean'!A:A,0))</f>
        <v>7,8</v>
      </c>
    </row>
    <row r="40">
      <c r="A40" s="3" t="str">
        <f t="array" ref="A40">index('Data from Ocean'!B:B,match(B40,'Data from Ocean'!A:A,0))</f>
        <v>Leek United Building Society</v>
      </c>
      <c r="I40" s="27">
        <f t="array" ref="I40">index('Original Spreadsheet'!J:J,match(B40,'Original Spreadsheet'!A:A,0))</f>
        <v>7360</v>
      </c>
      <c r="J40" s="27">
        <f t="array" ref="J40">index('Original Spreadsheet'!K:K,match(B40,'Original Spreadsheet'!A:A,0))</f>
        <v>8758.08</v>
      </c>
      <c r="K40" s="27">
        <f t="array" ref="K40">index('Original Spreadsheet'!E:E,match(B40,'Original Spreadsheet'!A:A,0))</f>
        <v>38001.4</v>
      </c>
      <c r="L40" s="27">
        <f t="shared" si="1"/>
        <v>925.2</v>
      </c>
      <c r="M40" s="28">
        <f t="shared" si="2"/>
        <v>0.1257065217</v>
      </c>
      <c r="N40" s="28">
        <f t="shared" si="3"/>
        <v>0.02434647145</v>
      </c>
      <c r="O40" s="29" t="str">
        <f t="array" ref="O40">index('Data from Ocean'!M:M,match(B40,'Data from Ocean'!A:A,0))</f>
        <v>7,8</v>
      </c>
    </row>
    <row r="41">
      <c r="A41" s="3" t="str">
        <f t="array" ref="A41">index('Data from Ocean'!B:B,match(B41,'Data from Ocean'!A:A,0))</f>
        <v>#N/A</v>
      </c>
      <c r="I41" s="27" t="str">
        <f t="array" ref="I41">index('Original Spreadsheet'!J:J,match(B41,'Original Spreadsheet'!A:A,0))</f>
        <v>#N/A</v>
      </c>
      <c r="J41" s="27" t="str">
        <f t="array" ref="J41">index('Original Spreadsheet'!K:K,match(B41,'Original Spreadsheet'!A:A,0))</f>
        <v>#N/A</v>
      </c>
      <c r="K41" s="27" t="str">
        <f t="array" ref="K41">index('Original Spreadsheet'!E:E,match(B41,'Original Spreadsheet'!A:A,0))</f>
        <v>#N/A</v>
      </c>
      <c r="L41" s="27" t="str">
        <f t="shared" si="1"/>
        <v>#N/A</v>
      </c>
      <c r="M41" s="28" t="str">
        <f t="shared" si="2"/>
        <v>#N/A</v>
      </c>
      <c r="N41" s="28" t="str">
        <f t="shared" si="3"/>
        <v>#N/A</v>
      </c>
      <c r="O41" s="29" t="str">
        <f t="array" ref="O41">index('Data from Ocean'!M:M,match(B41,'Data from Ocean'!A:A,0))</f>
        <v>#N/A</v>
      </c>
    </row>
    <row r="42">
      <c r="A42" s="3" t="str">
        <f t="array" ref="A42">index('Data from Ocean'!B:B,match(B42,'Data from Ocean'!A:A,0))</f>
        <v>Transformify Ltd</v>
      </c>
      <c r="I42" s="27">
        <f t="array" ref="I42">index('Original Spreadsheet'!J:J,match(B42,'Original Spreadsheet'!A:A,0))</f>
        <v>294.4</v>
      </c>
      <c r="J42" s="27">
        <f t="array" ref="J42">index('Original Spreadsheet'!K:K,match(B42,'Original Spreadsheet'!A:A,0))</f>
        <v>539.36</v>
      </c>
      <c r="K42" s="27">
        <f t="array" ref="K42">index('Original Spreadsheet'!E:E,match(B42,'Original Spreadsheet'!A:A,0))</f>
        <v>2083.88</v>
      </c>
      <c r="L42" s="27">
        <f t="shared" si="1"/>
        <v>297.4</v>
      </c>
      <c r="M42" s="28">
        <f t="shared" si="2"/>
        <v>1.010190217</v>
      </c>
      <c r="N42" s="28">
        <f t="shared" si="3"/>
        <v>0.1427145517</v>
      </c>
      <c r="O42" s="29" t="str">
        <f t="array" ref="O42">index('Data from Ocean'!M:M,match(B42,'Data from Ocean'!A:A,0))</f>
        <v>7,8</v>
      </c>
    </row>
    <row r="43">
      <c r="A43" s="3" t="str">
        <f t="array" ref="A43">index('Data from Ocean'!B:B,match(B43,'Data from Ocean'!A:A,0))</f>
        <v>Interpro Technology Solutions Limited</v>
      </c>
      <c r="I43" s="27">
        <f t="array" ref="I43">index('Original Spreadsheet'!J:J,match(B43,'Original Spreadsheet'!A:A,0))</f>
        <v>883.2</v>
      </c>
      <c r="J43" s="27">
        <f t="array" ref="J43">index('Original Spreadsheet'!K:K,match(B43,'Original Spreadsheet'!A:A,0))</f>
        <v>2367.36</v>
      </c>
      <c r="K43" s="27">
        <f t="array" ref="K43">index('Original Spreadsheet'!E:E,match(B43,'Original Spreadsheet'!A:A,0))</f>
        <v>6669.76</v>
      </c>
      <c r="L43" s="27">
        <f t="shared" si="1"/>
        <v>300.4</v>
      </c>
      <c r="M43" s="28">
        <f t="shared" si="2"/>
        <v>0.3401268116</v>
      </c>
      <c r="N43" s="28">
        <f t="shared" si="3"/>
        <v>0.04503910186</v>
      </c>
      <c r="O43" s="29" t="str">
        <f t="array" ref="O43">index('Data from Ocean'!M:M,match(B43,'Data from Ocean'!A:A,0))</f>
        <v>7,8</v>
      </c>
    </row>
    <row r="44">
      <c r="A44" s="3" t="str">
        <f t="array" ref="A44">index('Data from Ocean'!B:B,match(B44,'Data from Ocean'!A:A,0))</f>
        <v>#N/A</v>
      </c>
      <c r="I44" s="27" t="str">
        <f t="array" ref="I44">index('Original Spreadsheet'!J:J,match(B44,'Original Spreadsheet'!A:A,0))</f>
        <v>#N/A</v>
      </c>
      <c r="J44" s="27" t="str">
        <f t="array" ref="J44">index('Original Spreadsheet'!K:K,match(B44,'Original Spreadsheet'!A:A,0))</f>
        <v>#N/A</v>
      </c>
      <c r="K44" s="27" t="str">
        <f t="array" ref="K44">index('Original Spreadsheet'!E:E,match(B44,'Original Spreadsheet'!A:A,0))</f>
        <v>#N/A</v>
      </c>
      <c r="L44" s="27" t="str">
        <f t="shared" si="1"/>
        <v>#N/A</v>
      </c>
      <c r="M44" s="28" t="str">
        <f t="shared" si="2"/>
        <v>#N/A</v>
      </c>
      <c r="N44" s="28" t="str">
        <f t="shared" si="3"/>
        <v>#N/A</v>
      </c>
      <c r="O44" s="29" t="str">
        <f t="array" ref="O44">index('Data from Ocean'!M:M,match(B44,'Data from Ocean'!A:A,0))</f>
        <v>#N/A</v>
      </c>
    </row>
    <row r="45">
      <c r="A45" s="3" t="str">
        <f t="array" ref="A45">index('Data from Ocean'!B:B,match(B45,'Data from Ocean'!A:A,0))</f>
        <v>WeirFoulds LLP</v>
      </c>
      <c r="I45" s="27">
        <f t="array" ref="I45">index('Original Spreadsheet'!J:J,match(B45,'Original Spreadsheet'!A:A,0))</f>
        <v>7065.6</v>
      </c>
      <c r="J45" s="27">
        <f t="array" ref="J45">index('Original Spreadsheet'!K:K,match(B45,'Original Spreadsheet'!A:A,0))</f>
        <v>7065.6</v>
      </c>
      <c r="K45" s="27">
        <f t="array" ref="K45">index('Original Spreadsheet'!E:E,match(B45,'Original Spreadsheet'!A:A,0))</f>
        <v>41428.42</v>
      </c>
      <c r="L45" s="27">
        <f t="shared" si="1"/>
        <v>-1147.52</v>
      </c>
      <c r="M45" s="28">
        <f t="shared" si="2"/>
        <v>-0.1624094203</v>
      </c>
      <c r="N45" s="28">
        <f t="shared" si="3"/>
        <v>-0.02769885986</v>
      </c>
      <c r="O45" s="29" t="str">
        <f t="array" ref="O45">index('Data from Ocean'!M:M,match(B45,'Data from Ocean'!A:A,0))</f>
        <v>7,8</v>
      </c>
    </row>
    <row r="46">
      <c r="A46" s="3" t="str">
        <f t="array" ref="A46">index('Data from Ocean'!B:B,match(B46,'Data from Ocean'!A:A,0))</f>
        <v>Alaya Care Inc</v>
      </c>
      <c r="I46" s="27">
        <f t="array" ref="I46">index('Original Spreadsheet'!J:J,match(B46,'Original Spreadsheet'!A:A,0))</f>
        <v>883.2</v>
      </c>
      <c r="J46" s="27">
        <f t="array" ref="J46">index('Original Spreadsheet'!K:K,match(B46,'Original Spreadsheet'!A:A,0))</f>
        <v>2760.96</v>
      </c>
      <c r="K46" s="27">
        <f t="array" ref="K46">index('Original Spreadsheet'!E:E,match(B46,'Original Spreadsheet'!A:A,0))</f>
        <v>6574.94</v>
      </c>
      <c r="L46" s="27">
        <f t="shared" si="1"/>
        <v>1484</v>
      </c>
      <c r="M46" s="28">
        <f t="shared" si="2"/>
        <v>1.680253623</v>
      </c>
      <c r="N46" s="28">
        <f t="shared" si="3"/>
        <v>0.2257054817</v>
      </c>
      <c r="O46" s="29" t="str">
        <f t="array" ref="O46">index('Data from Ocean'!M:M,match(B46,'Data from Ocean'!A:A,0))</f>
        <v>7,8</v>
      </c>
    </row>
    <row r="47">
      <c r="I47" s="27"/>
      <c r="J47" s="27"/>
      <c r="K47" s="27"/>
      <c r="L47" s="27">
        <f t="shared" si="1"/>
        <v>138185.44</v>
      </c>
      <c r="M47" s="28"/>
      <c r="N47" s="28" t="str">
        <f t="shared" si="3"/>
        <v>#DIV/0!</v>
      </c>
      <c r="O47" s="29"/>
    </row>
    <row r="48">
      <c r="I48" s="27"/>
      <c r="J48" s="27"/>
      <c r="K48" s="27"/>
      <c r="L48" s="27"/>
      <c r="M48" s="28"/>
      <c r="N48" s="28"/>
      <c r="O48" s="29"/>
    </row>
    <row r="49">
      <c r="I49" s="27"/>
      <c r="J49" s="27"/>
      <c r="K49" s="27"/>
      <c r="L49" s="27"/>
      <c r="M49" s="28"/>
      <c r="N49" s="28"/>
      <c r="O49" s="29"/>
    </row>
    <row r="50">
      <c r="I50" s="27"/>
      <c r="J50" s="27"/>
      <c r="K50" s="27"/>
      <c r="L50" s="27"/>
      <c r="M50" s="28"/>
      <c r="N50" s="28"/>
      <c r="O50" s="29"/>
    </row>
    <row r="51">
      <c r="I51" s="27"/>
      <c r="J51" s="27"/>
      <c r="K51" s="27"/>
      <c r="L51" s="27"/>
      <c r="M51" s="28"/>
      <c r="N51" s="28"/>
      <c r="O51" s="29"/>
    </row>
    <row r="52">
      <c r="I52" s="27"/>
      <c r="J52" s="27"/>
      <c r="K52" s="27"/>
      <c r="L52" s="27"/>
      <c r="M52" s="28"/>
      <c r="N52" s="28"/>
      <c r="O52" s="29"/>
    </row>
    <row r="53">
      <c r="I53" s="27"/>
      <c r="J53" s="27"/>
      <c r="K53" s="27"/>
      <c r="L53" s="27"/>
      <c r="M53" s="28"/>
      <c r="N53" s="28"/>
      <c r="O53" s="29"/>
    </row>
    <row r="54">
      <c r="I54" s="27"/>
      <c r="J54" s="27"/>
      <c r="K54" s="27"/>
      <c r="L54" s="27"/>
      <c r="M54" s="28"/>
      <c r="N54" s="28"/>
      <c r="O54" s="29"/>
    </row>
    <row r="55">
      <c r="I55" s="27"/>
      <c r="J55" s="27"/>
      <c r="K55" s="27"/>
      <c r="L55" s="27"/>
      <c r="M55" s="28"/>
      <c r="N55" s="28"/>
      <c r="O55" s="29"/>
    </row>
    <row r="56">
      <c r="I56" s="27"/>
      <c r="J56" s="27"/>
      <c r="K56" s="27"/>
      <c r="L56" s="27"/>
      <c r="M56" s="28"/>
      <c r="N56" s="28"/>
      <c r="O56" s="29"/>
    </row>
    <row r="57">
      <c r="I57" s="27"/>
      <c r="J57" s="27"/>
      <c r="K57" s="27"/>
      <c r="L57" s="27"/>
      <c r="M57" s="28"/>
      <c r="N57" s="28"/>
      <c r="O57" s="29"/>
    </row>
    <row r="58">
      <c r="I58" s="27"/>
      <c r="J58" s="27"/>
      <c r="K58" s="27"/>
      <c r="L58" s="27"/>
      <c r="M58" s="28"/>
      <c r="N58" s="28"/>
      <c r="O58" s="29"/>
    </row>
    <row r="59">
      <c r="I59" s="27"/>
      <c r="J59" s="27"/>
      <c r="K59" s="27"/>
      <c r="L59" s="27"/>
      <c r="M59" s="28"/>
      <c r="N59" s="28"/>
      <c r="O59" s="29"/>
    </row>
    <row r="60">
      <c r="I60" s="27"/>
      <c r="J60" s="27"/>
      <c r="K60" s="27"/>
      <c r="L60" s="27"/>
      <c r="M60" s="28"/>
      <c r="N60" s="28"/>
      <c r="O60" s="29"/>
    </row>
    <row r="61">
      <c r="I61" s="27"/>
      <c r="J61" s="27"/>
      <c r="K61" s="27"/>
      <c r="L61" s="27"/>
      <c r="M61" s="28"/>
      <c r="N61" s="28"/>
      <c r="O61" s="29"/>
    </row>
    <row r="62">
      <c r="I62" s="27"/>
      <c r="J62" s="27"/>
      <c r="K62" s="27"/>
      <c r="L62" s="27"/>
      <c r="M62" s="28"/>
      <c r="N62" s="28"/>
      <c r="O62" s="29"/>
    </row>
    <row r="63">
      <c r="I63" s="27"/>
      <c r="J63" s="27"/>
      <c r="K63" s="27"/>
      <c r="L63" s="27"/>
      <c r="M63" s="28"/>
      <c r="N63" s="28"/>
      <c r="O63" s="29"/>
    </row>
    <row r="64">
      <c r="I64" s="27"/>
      <c r="J64" s="27"/>
      <c r="K64" s="27"/>
      <c r="L64" s="27"/>
      <c r="M64" s="28"/>
      <c r="N64" s="28"/>
      <c r="O64" s="29"/>
    </row>
    <row r="65">
      <c r="I65" s="27"/>
      <c r="J65" s="27"/>
      <c r="K65" s="27"/>
      <c r="L65" s="27"/>
      <c r="M65" s="28"/>
      <c r="N65" s="28"/>
      <c r="O65" s="29"/>
    </row>
    <row r="66">
      <c r="I66" s="27"/>
      <c r="J66" s="27"/>
      <c r="K66" s="27"/>
      <c r="L66" s="27"/>
      <c r="M66" s="28"/>
      <c r="N66" s="28"/>
      <c r="O66" s="29"/>
    </row>
    <row r="67">
      <c r="I67" s="27"/>
      <c r="J67" s="27"/>
      <c r="K67" s="27"/>
      <c r="L67" s="27"/>
      <c r="M67" s="28"/>
      <c r="N67" s="28"/>
      <c r="O67" s="29"/>
    </row>
    <row r="68">
      <c r="I68" s="27"/>
      <c r="J68" s="27"/>
      <c r="K68" s="27"/>
      <c r="L68" s="27"/>
      <c r="M68" s="28"/>
      <c r="N68" s="28"/>
      <c r="O68" s="29"/>
    </row>
    <row r="69">
      <c r="I69" s="27"/>
      <c r="J69" s="27"/>
      <c r="K69" s="27"/>
      <c r="L69" s="27"/>
      <c r="M69" s="28"/>
      <c r="N69" s="28"/>
      <c r="O69" s="29"/>
    </row>
    <row r="70">
      <c r="I70" s="27"/>
      <c r="J70" s="27"/>
      <c r="K70" s="27"/>
      <c r="L70" s="27"/>
      <c r="M70" s="28"/>
      <c r="N70" s="28"/>
      <c r="O70" s="29"/>
    </row>
    <row r="71">
      <c r="I71" s="27"/>
      <c r="J71" s="27"/>
      <c r="K71" s="27"/>
      <c r="L71" s="27"/>
      <c r="M71" s="28"/>
      <c r="N71" s="28"/>
      <c r="O71" s="29"/>
    </row>
    <row r="72">
      <c r="I72" s="27"/>
      <c r="J72" s="27"/>
      <c r="K72" s="27"/>
      <c r="L72" s="27"/>
      <c r="M72" s="28"/>
      <c r="N72" s="28"/>
      <c r="O72" s="29"/>
    </row>
    <row r="73">
      <c r="I73" s="27"/>
      <c r="J73" s="27"/>
      <c r="K73" s="27"/>
      <c r="L73" s="27"/>
      <c r="M73" s="28"/>
      <c r="N73" s="28"/>
      <c r="O73" s="29"/>
    </row>
    <row r="74">
      <c r="I74" s="27"/>
      <c r="J74" s="27"/>
      <c r="K74" s="27"/>
      <c r="L74" s="27"/>
      <c r="M74" s="28"/>
      <c r="N74" s="28"/>
      <c r="O74" s="29"/>
    </row>
    <row r="75">
      <c r="I75" s="27"/>
      <c r="J75" s="27"/>
      <c r="K75" s="27"/>
      <c r="L75" s="27"/>
      <c r="M75" s="28"/>
      <c r="N75" s="28"/>
      <c r="O75" s="29"/>
    </row>
    <row r="76">
      <c r="I76" s="27"/>
      <c r="J76" s="27"/>
      <c r="K76" s="27"/>
      <c r="L76" s="27"/>
      <c r="M76" s="28"/>
      <c r="N76" s="28"/>
      <c r="O76" s="29"/>
    </row>
    <row r="77">
      <c r="I77" s="27"/>
      <c r="J77" s="27"/>
      <c r="K77" s="27"/>
      <c r="L77" s="27"/>
      <c r="M77" s="28"/>
      <c r="N77" s="28"/>
      <c r="O77" s="29"/>
    </row>
    <row r="78">
      <c r="I78" s="27"/>
      <c r="J78" s="27"/>
      <c r="K78" s="27"/>
      <c r="L78" s="27"/>
      <c r="M78" s="28"/>
      <c r="N78" s="28"/>
      <c r="O78" s="29"/>
    </row>
    <row r="79">
      <c r="I79" s="27"/>
      <c r="J79" s="27"/>
      <c r="K79" s="27"/>
      <c r="L79" s="27"/>
      <c r="M79" s="28"/>
      <c r="N79" s="28"/>
      <c r="O79" s="29"/>
    </row>
    <row r="80">
      <c r="I80" s="27"/>
      <c r="J80" s="27"/>
      <c r="K80" s="27"/>
      <c r="L80" s="27"/>
      <c r="M80" s="28"/>
      <c r="N80" s="28"/>
      <c r="O80" s="29"/>
    </row>
    <row r="81">
      <c r="I81" s="27"/>
      <c r="J81" s="27"/>
      <c r="K81" s="27"/>
      <c r="L81" s="27"/>
      <c r="M81" s="28"/>
      <c r="N81" s="28"/>
      <c r="O81" s="29"/>
    </row>
    <row r="82">
      <c r="I82" s="27"/>
      <c r="J82" s="27"/>
      <c r="K82" s="27"/>
      <c r="L82" s="27"/>
      <c r="M82" s="28"/>
      <c r="N82" s="28"/>
      <c r="O82" s="29"/>
    </row>
    <row r="83">
      <c r="I83" s="27"/>
      <c r="J83" s="27"/>
      <c r="K83" s="27"/>
      <c r="L83" s="27"/>
      <c r="M83" s="28"/>
      <c r="N83" s="28"/>
      <c r="O83" s="29"/>
    </row>
    <row r="84">
      <c r="I84" s="27"/>
      <c r="J84" s="27"/>
      <c r="K84" s="27"/>
      <c r="L84" s="27"/>
      <c r="M84" s="28"/>
      <c r="N84" s="28"/>
      <c r="O84" s="29"/>
    </row>
    <row r="85">
      <c r="I85" s="27"/>
      <c r="J85" s="27"/>
      <c r="K85" s="27"/>
      <c r="L85" s="27"/>
      <c r="M85" s="28"/>
      <c r="N85" s="28"/>
      <c r="O85" s="29"/>
    </row>
    <row r="86">
      <c r="I86" s="27"/>
      <c r="J86" s="27"/>
      <c r="K86" s="27"/>
      <c r="L86" s="27"/>
      <c r="M86" s="28"/>
      <c r="N86" s="28"/>
      <c r="O86" s="29"/>
    </row>
    <row r="87">
      <c r="I87" s="27"/>
      <c r="J87" s="27"/>
      <c r="K87" s="27"/>
      <c r="L87" s="27"/>
      <c r="M87" s="28"/>
      <c r="N87" s="28"/>
      <c r="O87" s="29"/>
    </row>
    <row r="88">
      <c r="I88" s="27"/>
      <c r="J88" s="27"/>
      <c r="K88" s="27"/>
      <c r="L88" s="27"/>
      <c r="M88" s="28"/>
      <c r="N88" s="28"/>
      <c r="O88" s="29"/>
    </row>
    <row r="89">
      <c r="I89" s="27"/>
      <c r="J89" s="27"/>
      <c r="K89" s="27"/>
      <c r="L89" s="27"/>
      <c r="M89" s="28"/>
      <c r="N89" s="28"/>
      <c r="O89" s="29"/>
    </row>
    <row r="90">
      <c r="I90" s="27"/>
      <c r="J90" s="27"/>
      <c r="K90" s="27"/>
      <c r="L90" s="27"/>
      <c r="M90" s="28"/>
      <c r="N90" s="28"/>
      <c r="O90" s="29"/>
    </row>
    <row r="91">
      <c r="I91" s="27"/>
      <c r="J91" s="27"/>
      <c r="K91" s="27"/>
      <c r="L91" s="27"/>
      <c r="M91" s="28"/>
      <c r="N91" s="28"/>
      <c r="O91" s="29"/>
    </row>
    <row r="92">
      <c r="I92" s="27"/>
      <c r="J92" s="27"/>
      <c r="K92" s="27"/>
      <c r="L92" s="27"/>
      <c r="M92" s="28"/>
      <c r="N92" s="28"/>
      <c r="O92" s="29"/>
    </row>
    <row r="93">
      <c r="I93" s="27"/>
      <c r="J93" s="27"/>
      <c r="K93" s="27"/>
      <c r="L93" s="27"/>
      <c r="M93" s="28"/>
      <c r="N93" s="28"/>
      <c r="O93" s="29"/>
    </row>
    <row r="94">
      <c r="I94" s="27"/>
      <c r="J94" s="27"/>
      <c r="K94" s="27"/>
      <c r="L94" s="27"/>
      <c r="M94" s="28"/>
      <c r="N94" s="28"/>
      <c r="O94" s="29"/>
    </row>
    <row r="95">
      <c r="I95" s="27"/>
      <c r="J95" s="27"/>
      <c r="K95" s="27"/>
      <c r="L95" s="27"/>
      <c r="M95" s="28"/>
      <c r="N95" s="28"/>
      <c r="O95" s="29"/>
    </row>
    <row r="96">
      <c r="I96" s="27"/>
      <c r="J96" s="27"/>
      <c r="K96" s="27"/>
      <c r="L96" s="27"/>
      <c r="M96" s="28"/>
      <c r="N96" s="28"/>
      <c r="O96" s="29"/>
    </row>
    <row r="97">
      <c r="I97" s="27"/>
      <c r="J97" s="27"/>
      <c r="K97" s="27"/>
      <c r="L97" s="27"/>
      <c r="M97" s="28"/>
      <c r="N97" s="28"/>
      <c r="O97" s="29"/>
    </row>
    <row r="98">
      <c r="I98" s="27"/>
      <c r="J98" s="27"/>
      <c r="K98" s="27"/>
      <c r="L98" s="27"/>
      <c r="M98" s="28"/>
      <c r="N98" s="28"/>
      <c r="O98" s="29"/>
    </row>
    <row r="99">
      <c r="I99" s="27"/>
      <c r="J99" s="27"/>
      <c r="K99" s="27"/>
      <c r="L99" s="27"/>
      <c r="M99" s="28"/>
      <c r="N99" s="28"/>
      <c r="O99" s="29"/>
    </row>
    <row r="100">
      <c r="I100" s="27"/>
      <c r="J100" s="27"/>
      <c r="K100" s="27"/>
      <c r="L100" s="27"/>
      <c r="M100" s="28"/>
      <c r="N100" s="28"/>
      <c r="O100" s="29"/>
    </row>
    <row r="101">
      <c r="I101" s="27"/>
      <c r="J101" s="27"/>
      <c r="K101" s="27"/>
      <c r="L101" s="27"/>
      <c r="M101" s="28"/>
      <c r="N101" s="28"/>
      <c r="O101" s="29"/>
    </row>
    <row r="102">
      <c r="I102" s="27"/>
      <c r="J102" s="27"/>
      <c r="K102" s="27"/>
      <c r="L102" s="27"/>
      <c r="M102" s="28"/>
      <c r="N102" s="28"/>
      <c r="O102" s="29"/>
    </row>
    <row r="103">
      <c r="I103" s="27"/>
      <c r="J103" s="27"/>
      <c r="K103" s="27"/>
      <c r="L103" s="27"/>
      <c r="M103" s="28"/>
      <c r="N103" s="28"/>
      <c r="O103" s="29"/>
    </row>
    <row r="104">
      <c r="I104" s="27"/>
      <c r="J104" s="27"/>
      <c r="K104" s="27"/>
      <c r="L104" s="27"/>
      <c r="M104" s="28"/>
      <c r="N104" s="28"/>
      <c r="O104" s="29"/>
    </row>
    <row r="105">
      <c r="I105" s="27"/>
      <c r="J105" s="27"/>
      <c r="K105" s="27"/>
      <c r="L105" s="27"/>
      <c r="M105" s="28"/>
      <c r="N105" s="28"/>
      <c r="O105" s="29"/>
    </row>
    <row r="106">
      <c r="I106" s="27"/>
      <c r="J106" s="27"/>
      <c r="K106" s="27"/>
      <c r="L106" s="27"/>
      <c r="M106" s="28"/>
      <c r="N106" s="28"/>
      <c r="O106" s="29"/>
    </row>
    <row r="107">
      <c r="I107" s="27"/>
      <c r="J107" s="27"/>
      <c r="K107" s="27"/>
      <c r="L107" s="27"/>
      <c r="M107" s="28"/>
      <c r="N107" s="28"/>
      <c r="O107" s="29"/>
    </row>
    <row r="108">
      <c r="I108" s="27"/>
      <c r="J108" s="27"/>
      <c r="K108" s="27"/>
      <c r="L108" s="27"/>
      <c r="M108" s="28"/>
      <c r="N108" s="28"/>
      <c r="O108" s="29"/>
    </row>
    <row r="109">
      <c r="I109" s="27"/>
      <c r="J109" s="27"/>
      <c r="K109" s="27"/>
      <c r="L109" s="27"/>
      <c r="M109" s="28"/>
      <c r="N109" s="28"/>
      <c r="O109" s="29"/>
    </row>
    <row r="110">
      <c r="I110" s="27"/>
      <c r="J110" s="27"/>
      <c r="K110" s="27"/>
      <c r="L110" s="27"/>
      <c r="M110" s="28"/>
      <c r="N110" s="28"/>
      <c r="O110" s="29"/>
    </row>
    <row r="111">
      <c r="I111" s="27"/>
      <c r="J111" s="27"/>
      <c r="K111" s="27"/>
      <c r="L111" s="27"/>
      <c r="M111" s="28"/>
      <c r="N111" s="28"/>
      <c r="O111" s="29"/>
    </row>
    <row r="112">
      <c r="I112" s="27"/>
      <c r="J112" s="27"/>
      <c r="K112" s="27"/>
      <c r="L112" s="27"/>
      <c r="M112" s="28"/>
      <c r="N112" s="28"/>
      <c r="O112" s="29"/>
    </row>
    <row r="113">
      <c r="I113" s="27"/>
      <c r="J113" s="27"/>
      <c r="K113" s="27"/>
      <c r="L113" s="27"/>
      <c r="M113" s="28"/>
      <c r="N113" s="28"/>
      <c r="O113" s="29"/>
    </row>
    <row r="114">
      <c r="I114" s="27"/>
      <c r="J114" s="27"/>
      <c r="K114" s="27"/>
      <c r="L114" s="27"/>
      <c r="M114" s="28"/>
      <c r="N114" s="28"/>
      <c r="O114" s="29"/>
    </row>
    <row r="115">
      <c r="I115" s="27"/>
      <c r="J115" s="27"/>
      <c r="K115" s="27"/>
      <c r="L115" s="27"/>
      <c r="M115" s="28"/>
      <c r="N115" s="28"/>
      <c r="O115" s="29"/>
    </row>
    <row r="116">
      <c r="I116" s="27"/>
      <c r="J116" s="27"/>
      <c r="K116" s="27"/>
      <c r="L116" s="27"/>
      <c r="M116" s="28"/>
      <c r="N116" s="28"/>
      <c r="O116" s="29"/>
    </row>
    <row r="117">
      <c r="I117" s="27"/>
      <c r="J117" s="27"/>
      <c r="K117" s="27"/>
      <c r="L117" s="27"/>
      <c r="M117" s="28"/>
      <c r="N117" s="28"/>
      <c r="O117" s="29"/>
    </row>
    <row r="118">
      <c r="I118" s="27"/>
      <c r="J118" s="27"/>
      <c r="K118" s="27"/>
      <c r="L118" s="27"/>
      <c r="M118" s="28"/>
      <c r="N118" s="28"/>
      <c r="O118" s="29"/>
    </row>
    <row r="119">
      <c r="I119" s="27"/>
      <c r="J119" s="27"/>
      <c r="K119" s="27"/>
      <c r="L119" s="27"/>
      <c r="M119" s="28"/>
      <c r="N119" s="28"/>
      <c r="O119" s="29"/>
    </row>
    <row r="120">
      <c r="I120" s="27"/>
      <c r="J120" s="27"/>
      <c r="K120" s="27"/>
      <c r="L120" s="27"/>
      <c r="M120" s="28"/>
      <c r="N120" s="28"/>
      <c r="O120" s="29"/>
    </row>
    <row r="121">
      <c r="I121" s="27"/>
      <c r="J121" s="27"/>
      <c r="K121" s="27"/>
      <c r="L121" s="27"/>
      <c r="M121" s="28"/>
      <c r="N121" s="28"/>
      <c r="O121" s="29"/>
    </row>
    <row r="122">
      <c r="I122" s="27"/>
      <c r="J122" s="27"/>
      <c r="K122" s="27"/>
      <c r="L122" s="27"/>
      <c r="M122" s="28"/>
      <c r="N122" s="28"/>
      <c r="O122" s="29"/>
    </row>
    <row r="123">
      <c r="I123" s="27"/>
      <c r="J123" s="27"/>
      <c r="K123" s="27"/>
      <c r="L123" s="27"/>
      <c r="M123" s="28"/>
      <c r="N123" s="28"/>
      <c r="O123" s="29"/>
    </row>
    <row r="124">
      <c r="I124" s="27"/>
      <c r="J124" s="27"/>
      <c r="K124" s="27"/>
      <c r="L124" s="27"/>
      <c r="M124" s="28"/>
      <c r="N124" s="28"/>
      <c r="O124" s="29"/>
    </row>
    <row r="125">
      <c r="I125" s="27"/>
      <c r="J125" s="27"/>
      <c r="K125" s="27"/>
      <c r="L125" s="27"/>
      <c r="M125" s="28"/>
      <c r="N125" s="28"/>
      <c r="O125" s="29"/>
    </row>
    <row r="126">
      <c r="I126" s="27"/>
      <c r="J126" s="27"/>
      <c r="K126" s="27"/>
      <c r="L126" s="27"/>
      <c r="M126" s="28"/>
      <c r="N126" s="28"/>
      <c r="O126" s="29"/>
    </row>
    <row r="127">
      <c r="I127" s="27"/>
      <c r="J127" s="27"/>
      <c r="K127" s="27"/>
      <c r="L127" s="27"/>
      <c r="M127" s="28"/>
      <c r="N127" s="28"/>
      <c r="O127" s="29"/>
    </row>
    <row r="128">
      <c r="I128" s="27"/>
      <c r="J128" s="27"/>
      <c r="K128" s="27"/>
      <c r="L128" s="27"/>
      <c r="M128" s="28"/>
      <c r="N128" s="28"/>
      <c r="O128" s="29"/>
    </row>
    <row r="129">
      <c r="I129" s="27"/>
      <c r="J129" s="27"/>
      <c r="K129" s="27"/>
      <c r="L129" s="27"/>
      <c r="M129" s="28"/>
      <c r="N129" s="28"/>
      <c r="O129" s="29"/>
    </row>
    <row r="130">
      <c r="I130" s="27"/>
      <c r="J130" s="27"/>
      <c r="K130" s="27"/>
      <c r="L130" s="27"/>
      <c r="M130" s="28"/>
      <c r="N130" s="28"/>
      <c r="O130" s="29"/>
    </row>
    <row r="131">
      <c r="I131" s="27"/>
      <c r="J131" s="27"/>
      <c r="K131" s="27"/>
      <c r="L131" s="27"/>
      <c r="M131" s="28"/>
      <c r="N131" s="28"/>
      <c r="O131" s="29"/>
    </row>
    <row r="132">
      <c r="I132" s="27"/>
      <c r="J132" s="27"/>
      <c r="K132" s="27"/>
      <c r="L132" s="27"/>
      <c r="M132" s="28"/>
      <c r="N132" s="28"/>
      <c r="O132" s="29"/>
    </row>
    <row r="133">
      <c r="I133" s="27"/>
      <c r="J133" s="27"/>
      <c r="K133" s="27"/>
      <c r="L133" s="27"/>
      <c r="M133" s="28"/>
      <c r="N133" s="28"/>
      <c r="O133" s="29"/>
    </row>
    <row r="134">
      <c r="I134" s="27"/>
      <c r="J134" s="27"/>
      <c r="K134" s="27"/>
      <c r="L134" s="27"/>
      <c r="M134" s="28"/>
      <c r="N134" s="28"/>
      <c r="O134" s="29"/>
    </row>
    <row r="135">
      <c r="I135" s="27"/>
      <c r="J135" s="27"/>
      <c r="K135" s="27"/>
      <c r="L135" s="27"/>
      <c r="M135" s="28"/>
      <c r="N135" s="28"/>
      <c r="O135" s="29"/>
    </row>
    <row r="136">
      <c r="I136" s="27"/>
      <c r="J136" s="27"/>
      <c r="K136" s="27"/>
      <c r="L136" s="27"/>
      <c r="M136" s="28"/>
      <c r="N136" s="28"/>
      <c r="O136" s="29"/>
    </row>
    <row r="137">
      <c r="I137" s="27"/>
      <c r="J137" s="27"/>
      <c r="K137" s="27"/>
      <c r="L137" s="27"/>
      <c r="M137" s="28"/>
      <c r="N137" s="28"/>
      <c r="O137" s="29"/>
    </row>
    <row r="138">
      <c r="I138" s="27"/>
      <c r="J138" s="27"/>
      <c r="K138" s="27"/>
      <c r="L138" s="27"/>
      <c r="M138" s="28"/>
      <c r="N138" s="28"/>
      <c r="O138" s="29"/>
    </row>
    <row r="139">
      <c r="I139" s="27"/>
      <c r="J139" s="27"/>
      <c r="K139" s="27"/>
      <c r="L139" s="27"/>
      <c r="M139" s="28"/>
      <c r="N139" s="28"/>
      <c r="O139" s="29"/>
    </row>
    <row r="140">
      <c r="I140" s="27"/>
      <c r="J140" s="27"/>
      <c r="K140" s="27"/>
      <c r="L140" s="27"/>
      <c r="M140" s="28"/>
      <c r="N140" s="28"/>
      <c r="O140" s="29"/>
    </row>
    <row r="141">
      <c r="I141" s="27"/>
      <c r="J141" s="27"/>
      <c r="K141" s="27"/>
      <c r="L141" s="27"/>
      <c r="M141" s="28"/>
      <c r="N141" s="28"/>
      <c r="O141" s="29"/>
    </row>
    <row r="142">
      <c r="I142" s="27"/>
      <c r="J142" s="27"/>
      <c r="K142" s="27"/>
      <c r="L142" s="27"/>
      <c r="M142" s="28"/>
      <c r="N142" s="28"/>
      <c r="O142" s="29"/>
    </row>
    <row r="143">
      <c r="I143" s="27"/>
      <c r="J143" s="27"/>
      <c r="K143" s="27"/>
      <c r="L143" s="27"/>
      <c r="M143" s="28"/>
      <c r="N143" s="28"/>
      <c r="O143" s="29"/>
    </row>
    <row r="144">
      <c r="I144" s="27"/>
      <c r="J144" s="27"/>
      <c r="K144" s="27"/>
      <c r="L144" s="27"/>
      <c r="M144" s="28"/>
      <c r="N144" s="28"/>
      <c r="O144" s="29"/>
    </row>
    <row r="145">
      <c r="I145" s="27"/>
      <c r="J145" s="27"/>
      <c r="K145" s="27"/>
      <c r="L145" s="27"/>
      <c r="M145" s="28"/>
      <c r="N145" s="28"/>
      <c r="O145" s="29"/>
    </row>
    <row r="146">
      <c r="I146" s="27"/>
      <c r="J146" s="27"/>
      <c r="K146" s="27"/>
      <c r="L146" s="27"/>
      <c r="M146" s="28"/>
      <c r="N146" s="28"/>
      <c r="O146" s="29"/>
    </row>
    <row r="147">
      <c r="I147" s="27"/>
      <c r="J147" s="27"/>
      <c r="K147" s="27"/>
      <c r="L147" s="27"/>
      <c r="M147" s="28"/>
      <c r="N147" s="28"/>
      <c r="O147" s="29"/>
    </row>
    <row r="148">
      <c r="I148" s="27"/>
      <c r="J148" s="27"/>
      <c r="K148" s="27"/>
      <c r="L148" s="27"/>
      <c r="M148" s="28"/>
      <c r="N148" s="28"/>
      <c r="O148" s="29"/>
    </row>
    <row r="149">
      <c r="I149" s="27"/>
      <c r="J149" s="27"/>
      <c r="K149" s="27"/>
      <c r="L149" s="27"/>
      <c r="M149" s="28"/>
      <c r="N149" s="28"/>
      <c r="O149" s="29"/>
    </row>
    <row r="150">
      <c r="I150" s="27"/>
      <c r="J150" s="27"/>
      <c r="K150" s="27"/>
      <c r="L150" s="27"/>
      <c r="M150" s="28"/>
      <c r="N150" s="28"/>
      <c r="O150" s="29"/>
    </row>
    <row r="151">
      <c r="I151" s="27"/>
      <c r="J151" s="27"/>
      <c r="K151" s="27"/>
      <c r="L151" s="27"/>
      <c r="M151" s="28"/>
      <c r="N151" s="28"/>
      <c r="O151" s="29"/>
    </row>
    <row r="152">
      <c r="I152" s="27"/>
      <c r="J152" s="27"/>
      <c r="K152" s="27"/>
      <c r="L152" s="27"/>
      <c r="M152" s="28"/>
      <c r="N152" s="28"/>
      <c r="O152" s="29"/>
    </row>
    <row r="153">
      <c r="I153" s="27"/>
      <c r="J153" s="27"/>
      <c r="K153" s="27"/>
      <c r="L153" s="27"/>
      <c r="M153" s="28"/>
      <c r="N153" s="28"/>
      <c r="O153" s="29"/>
    </row>
    <row r="154">
      <c r="I154" s="27"/>
      <c r="J154" s="27"/>
      <c r="K154" s="27"/>
      <c r="L154" s="27"/>
      <c r="M154" s="28"/>
      <c r="N154" s="28"/>
      <c r="O154" s="29"/>
    </row>
    <row r="155">
      <c r="I155" s="27"/>
      <c r="J155" s="27"/>
      <c r="K155" s="27"/>
      <c r="L155" s="27"/>
      <c r="M155" s="28"/>
      <c r="N155" s="28"/>
      <c r="O155" s="29"/>
    </row>
    <row r="156">
      <c r="I156" s="27"/>
      <c r="J156" s="27"/>
      <c r="K156" s="27"/>
      <c r="L156" s="27"/>
      <c r="M156" s="28"/>
      <c r="N156" s="28"/>
      <c r="O156" s="29"/>
    </row>
    <row r="157">
      <c r="I157" s="27"/>
      <c r="J157" s="27"/>
      <c r="K157" s="27"/>
      <c r="L157" s="27"/>
      <c r="M157" s="28"/>
      <c r="N157" s="28"/>
      <c r="O157" s="29"/>
    </row>
    <row r="158">
      <c r="I158" s="27"/>
      <c r="J158" s="27"/>
      <c r="K158" s="27"/>
      <c r="L158" s="27"/>
      <c r="M158" s="28"/>
      <c r="N158" s="28"/>
      <c r="O158" s="29"/>
    </row>
    <row r="159">
      <c r="I159" s="27"/>
      <c r="J159" s="27"/>
      <c r="K159" s="27"/>
      <c r="L159" s="27"/>
      <c r="M159" s="28"/>
      <c r="N159" s="28"/>
      <c r="O159" s="29"/>
    </row>
    <row r="160">
      <c r="I160" s="27"/>
      <c r="J160" s="27"/>
      <c r="K160" s="27"/>
      <c r="L160" s="27"/>
      <c r="M160" s="28"/>
      <c r="N160" s="28"/>
      <c r="O160" s="29"/>
    </row>
    <row r="161">
      <c r="I161" s="27"/>
      <c r="J161" s="27"/>
      <c r="K161" s="27"/>
      <c r="L161" s="27"/>
      <c r="M161" s="28"/>
      <c r="N161" s="28"/>
      <c r="O161" s="29"/>
    </row>
    <row r="162">
      <c r="I162" s="27"/>
      <c r="J162" s="27"/>
      <c r="K162" s="27"/>
      <c r="L162" s="27"/>
      <c r="M162" s="28"/>
      <c r="N162" s="28"/>
      <c r="O162" s="29"/>
    </row>
    <row r="163">
      <c r="I163" s="27"/>
      <c r="J163" s="27"/>
      <c r="K163" s="27"/>
      <c r="L163" s="27"/>
      <c r="M163" s="28"/>
      <c r="N163" s="28"/>
      <c r="O163" s="29"/>
    </row>
    <row r="164">
      <c r="I164" s="27"/>
      <c r="J164" s="27"/>
      <c r="K164" s="27"/>
      <c r="L164" s="27"/>
      <c r="M164" s="28"/>
      <c r="N164" s="28"/>
      <c r="O164" s="29"/>
    </row>
    <row r="165">
      <c r="I165" s="27"/>
      <c r="J165" s="27"/>
      <c r="K165" s="27"/>
      <c r="L165" s="27"/>
      <c r="M165" s="28"/>
      <c r="N165" s="28"/>
      <c r="O165" s="29"/>
    </row>
    <row r="166">
      <c r="I166" s="27"/>
      <c r="J166" s="27"/>
      <c r="K166" s="27"/>
      <c r="L166" s="27"/>
      <c r="M166" s="28"/>
      <c r="N166" s="28"/>
      <c r="O166" s="29"/>
    </row>
    <row r="167">
      <c r="I167" s="27"/>
      <c r="J167" s="27"/>
      <c r="K167" s="27"/>
      <c r="L167" s="27"/>
      <c r="M167" s="28"/>
      <c r="N167" s="28"/>
      <c r="O167" s="29"/>
    </row>
    <row r="168">
      <c r="I168" s="27"/>
      <c r="J168" s="27"/>
      <c r="K168" s="27"/>
      <c r="L168" s="27"/>
      <c r="M168" s="28"/>
      <c r="N168" s="28"/>
      <c r="O168" s="29"/>
    </row>
    <row r="169">
      <c r="I169" s="27"/>
      <c r="J169" s="27"/>
      <c r="K169" s="27"/>
      <c r="L169" s="27"/>
      <c r="M169" s="28"/>
      <c r="N169" s="28"/>
      <c r="O169" s="29"/>
    </row>
    <row r="170">
      <c r="I170" s="27"/>
      <c r="J170" s="27"/>
      <c r="K170" s="27"/>
      <c r="L170" s="27"/>
      <c r="M170" s="28"/>
      <c r="N170" s="28"/>
      <c r="O170" s="29"/>
    </row>
    <row r="171">
      <c r="I171" s="27"/>
      <c r="J171" s="27"/>
      <c r="K171" s="27"/>
      <c r="L171" s="27"/>
      <c r="M171" s="28"/>
      <c r="N171" s="28"/>
      <c r="O171" s="29"/>
    </row>
    <row r="172">
      <c r="I172" s="27"/>
      <c r="J172" s="27"/>
      <c r="K172" s="27"/>
      <c r="L172" s="27"/>
      <c r="M172" s="28"/>
      <c r="N172" s="28"/>
      <c r="O172" s="29"/>
    </row>
    <row r="173">
      <c r="I173" s="27"/>
      <c r="J173" s="27"/>
      <c r="K173" s="27"/>
      <c r="L173" s="27"/>
      <c r="M173" s="28"/>
      <c r="N173" s="28"/>
      <c r="O173" s="29"/>
    </row>
    <row r="174">
      <c r="I174" s="27"/>
      <c r="J174" s="27"/>
      <c r="K174" s="27"/>
      <c r="L174" s="27"/>
      <c r="M174" s="28"/>
      <c r="N174" s="28"/>
      <c r="O174" s="29"/>
    </row>
    <row r="175">
      <c r="I175" s="27"/>
      <c r="J175" s="27"/>
      <c r="K175" s="27"/>
      <c r="L175" s="27"/>
      <c r="M175" s="28"/>
      <c r="N175" s="28"/>
      <c r="O175" s="29"/>
    </row>
    <row r="176">
      <c r="I176" s="27"/>
      <c r="J176" s="27"/>
      <c r="K176" s="27"/>
      <c r="L176" s="27"/>
      <c r="M176" s="28"/>
      <c r="N176" s="28"/>
      <c r="O176" s="29"/>
    </row>
    <row r="177">
      <c r="I177" s="27"/>
      <c r="J177" s="27"/>
      <c r="K177" s="27"/>
      <c r="L177" s="27"/>
      <c r="M177" s="28"/>
      <c r="N177" s="28"/>
      <c r="O177" s="29"/>
    </row>
    <row r="178">
      <c r="I178" s="27"/>
      <c r="J178" s="27"/>
      <c r="K178" s="27"/>
      <c r="L178" s="27"/>
      <c r="M178" s="28"/>
      <c r="N178" s="28"/>
      <c r="O178" s="29"/>
    </row>
    <row r="179">
      <c r="I179" s="27"/>
      <c r="J179" s="27"/>
      <c r="K179" s="27"/>
      <c r="L179" s="27"/>
      <c r="M179" s="28"/>
      <c r="N179" s="28"/>
      <c r="O179" s="29"/>
    </row>
    <row r="180">
      <c r="I180" s="27"/>
      <c r="J180" s="27"/>
      <c r="K180" s="27"/>
      <c r="L180" s="27"/>
      <c r="M180" s="28"/>
      <c r="N180" s="28"/>
      <c r="O180" s="29"/>
    </row>
    <row r="181">
      <c r="I181" s="27"/>
      <c r="J181" s="27"/>
      <c r="K181" s="27"/>
      <c r="L181" s="27"/>
      <c r="M181" s="28"/>
      <c r="N181" s="28"/>
      <c r="O181" s="29"/>
    </row>
    <row r="182">
      <c r="I182" s="27"/>
      <c r="J182" s="27"/>
      <c r="K182" s="27"/>
      <c r="L182" s="27"/>
      <c r="M182" s="28"/>
      <c r="N182" s="28"/>
      <c r="O182" s="29"/>
    </row>
    <row r="183">
      <c r="I183" s="27"/>
      <c r="J183" s="27"/>
      <c r="K183" s="27"/>
      <c r="L183" s="27"/>
      <c r="M183" s="28"/>
      <c r="N183" s="28"/>
      <c r="O183" s="29"/>
    </row>
    <row r="184">
      <c r="I184" s="27"/>
      <c r="J184" s="27"/>
      <c r="K184" s="27"/>
      <c r="L184" s="27"/>
      <c r="M184" s="28"/>
      <c r="N184" s="28"/>
      <c r="O184" s="29"/>
    </row>
    <row r="185">
      <c r="I185" s="27"/>
      <c r="J185" s="27"/>
      <c r="K185" s="27"/>
      <c r="L185" s="27"/>
      <c r="M185" s="28"/>
      <c r="N185" s="28"/>
      <c r="O185" s="29"/>
    </row>
    <row r="186">
      <c r="I186" s="27"/>
      <c r="J186" s="27"/>
      <c r="K186" s="27"/>
      <c r="L186" s="27"/>
      <c r="M186" s="28"/>
      <c r="N186" s="28"/>
      <c r="O186" s="29"/>
    </row>
    <row r="187">
      <c r="I187" s="27"/>
      <c r="J187" s="27"/>
      <c r="K187" s="27"/>
      <c r="L187" s="27"/>
      <c r="M187" s="28"/>
      <c r="N187" s="28"/>
      <c r="O187" s="29"/>
    </row>
    <row r="188">
      <c r="I188" s="27"/>
      <c r="J188" s="27"/>
      <c r="K188" s="27"/>
      <c r="L188" s="27"/>
      <c r="M188" s="28"/>
      <c r="N188" s="28"/>
      <c r="O188" s="29"/>
    </row>
    <row r="189">
      <c r="I189" s="27"/>
      <c r="J189" s="27"/>
      <c r="K189" s="27"/>
      <c r="L189" s="27"/>
      <c r="M189" s="28"/>
      <c r="N189" s="28"/>
      <c r="O189" s="29"/>
    </row>
    <row r="190">
      <c r="I190" s="27"/>
      <c r="J190" s="27"/>
      <c r="K190" s="27"/>
      <c r="L190" s="27"/>
      <c r="M190" s="28"/>
      <c r="N190" s="28"/>
      <c r="O190" s="29"/>
    </row>
    <row r="191">
      <c r="I191" s="27"/>
      <c r="J191" s="27"/>
      <c r="K191" s="27"/>
      <c r="L191" s="27"/>
      <c r="M191" s="28"/>
      <c r="N191" s="28"/>
      <c r="O191" s="29"/>
    </row>
    <row r="192">
      <c r="I192" s="27"/>
      <c r="J192" s="27"/>
      <c r="K192" s="27"/>
      <c r="L192" s="27"/>
      <c r="M192" s="28"/>
      <c r="N192" s="28"/>
      <c r="O192" s="29"/>
    </row>
    <row r="193">
      <c r="I193" s="27"/>
      <c r="J193" s="27"/>
      <c r="K193" s="27"/>
      <c r="L193" s="27"/>
      <c r="M193" s="28"/>
      <c r="N193" s="28"/>
      <c r="O193" s="29"/>
    </row>
    <row r="194">
      <c r="I194" s="27"/>
      <c r="J194" s="27"/>
      <c r="K194" s="27"/>
      <c r="L194" s="27"/>
      <c r="M194" s="28"/>
      <c r="N194" s="28"/>
      <c r="O194" s="29"/>
    </row>
    <row r="195">
      <c r="I195" s="27"/>
      <c r="J195" s="27"/>
      <c r="K195" s="27"/>
      <c r="L195" s="27"/>
      <c r="M195" s="28"/>
      <c r="N195" s="28"/>
      <c r="O195" s="29"/>
    </row>
    <row r="196">
      <c r="I196" s="27"/>
      <c r="J196" s="27"/>
      <c r="K196" s="27"/>
      <c r="L196" s="27"/>
      <c r="M196" s="28"/>
      <c r="N196" s="28"/>
      <c r="O196" s="29"/>
    </row>
    <row r="197">
      <c r="I197" s="27"/>
      <c r="J197" s="27"/>
      <c r="K197" s="27"/>
      <c r="L197" s="27"/>
      <c r="M197" s="28"/>
      <c r="N197" s="28"/>
      <c r="O197" s="29"/>
    </row>
    <row r="198">
      <c r="I198" s="27"/>
      <c r="J198" s="27"/>
      <c r="K198" s="27"/>
      <c r="L198" s="27"/>
      <c r="M198" s="28"/>
      <c r="N198" s="28"/>
      <c r="O198" s="29"/>
    </row>
    <row r="199">
      <c r="I199" s="27"/>
      <c r="J199" s="27"/>
      <c r="K199" s="27"/>
      <c r="L199" s="27"/>
      <c r="M199" s="28"/>
      <c r="N199" s="28"/>
      <c r="O199" s="29"/>
    </row>
    <row r="200">
      <c r="I200" s="27"/>
      <c r="J200" s="27"/>
      <c r="K200" s="27"/>
      <c r="L200" s="27"/>
      <c r="M200" s="28"/>
      <c r="N200" s="28"/>
      <c r="O200" s="29"/>
    </row>
    <row r="201">
      <c r="I201" s="27"/>
      <c r="J201" s="27"/>
      <c r="K201" s="27"/>
      <c r="L201" s="27"/>
      <c r="M201" s="28"/>
      <c r="N201" s="28"/>
      <c r="O201" s="29"/>
    </row>
    <row r="202">
      <c r="I202" s="27"/>
      <c r="J202" s="27"/>
      <c r="K202" s="27"/>
      <c r="L202" s="27"/>
      <c r="M202" s="28"/>
      <c r="N202" s="28"/>
      <c r="O202" s="29"/>
    </row>
    <row r="203">
      <c r="I203" s="27"/>
      <c r="J203" s="27"/>
      <c r="K203" s="27"/>
      <c r="L203" s="27"/>
      <c r="M203" s="28"/>
      <c r="N203" s="28"/>
      <c r="O203" s="29"/>
    </row>
    <row r="204">
      <c r="I204" s="27"/>
      <c r="J204" s="27"/>
      <c r="K204" s="27"/>
      <c r="L204" s="27"/>
      <c r="M204" s="28"/>
      <c r="N204" s="28"/>
      <c r="O204" s="29"/>
    </row>
    <row r="205">
      <c r="I205" s="27"/>
      <c r="J205" s="27"/>
      <c r="K205" s="27"/>
      <c r="L205" s="27"/>
      <c r="M205" s="28"/>
      <c r="N205" s="28"/>
      <c r="O205" s="29"/>
    </row>
    <row r="206">
      <c r="I206" s="27"/>
      <c r="J206" s="27"/>
      <c r="K206" s="27"/>
      <c r="L206" s="27"/>
      <c r="M206" s="28"/>
      <c r="N206" s="28"/>
      <c r="O206" s="29"/>
    </row>
    <row r="207">
      <c r="I207" s="27"/>
      <c r="J207" s="27"/>
      <c r="K207" s="27"/>
      <c r="L207" s="27"/>
      <c r="M207" s="28"/>
      <c r="N207" s="28"/>
      <c r="O207" s="29"/>
    </row>
    <row r="208">
      <c r="I208" s="27"/>
      <c r="J208" s="27"/>
      <c r="K208" s="27"/>
      <c r="L208" s="27"/>
      <c r="M208" s="28"/>
      <c r="N208" s="28"/>
      <c r="O208" s="29"/>
    </row>
    <row r="209">
      <c r="I209" s="27"/>
      <c r="J209" s="27"/>
      <c r="K209" s="27"/>
      <c r="L209" s="27"/>
      <c r="M209" s="28"/>
      <c r="N209" s="28"/>
      <c r="O209" s="29"/>
    </row>
    <row r="210">
      <c r="I210" s="27"/>
      <c r="J210" s="27"/>
      <c r="K210" s="27"/>
      <c r="L210" s="27"/>
      <c r="M210" s="28"/>
      <c r="N210" s="28"/>
      <c r="O210" s="29"/>
    </row>
    <row r="211">
      <c r="I211" s="27"/>
      <c r="J211" s="27"/>
      <c r="K211" s="27"/>
      <c r="L211" s="27"/>
      <c r="M211" s="28"/>
      <c r="N211" s="28"/>
      <c r="O211" s="29"/>
    </row>
    <row r="212">
      <c r="I212" s="27"/>
      <c r="J212" s="27"/>
      <c r="K212" s="27"/>
      <c r="L212" s="27"/>
      <c r="M212" s="28"/>
      <c r="N212" s="28"/>
      <c r="O212" s="29"/>
    </row>
    <row r="213">
      <c r="I213" s="27"/>
      <c r="J213" s="27"/>
      <c r="K213" s="27"/>
      <c r="L213" s="27"/>
      <c r="M213" s="28"/>
      <c r="N213" s="28"/>
      <c r="O213" s="29"/>
    </row>
    <row r="214">
      <c r="I214" s="27"/>
      <c r="J214" s="27"/>
      <c r="K214" s="27"/>
      <c r="L214" s="27"/>
      <c r="M214" s="28"/>
      <c r="N214" s="28"/>
      <c r="O214" s="29"/>
    </row>
    <row r="215">
      <c r="I215" s="27"/>
      <c r="J215" s="27"/>
      <c r="K215" s="27"/>
      <c r="L215" s="27"/>
      <c r="M215" s="28"/>
      <c r="N215" s="28"/>
      <c r="O215" s="29"/>
    </row>
    <row r="216">
      <c r="I216" s="27"/>
      <c r="J216" s="27"/>
      <c r="K216" s="27"/>
      <c r="L216" s="27"/>
      <c r="M216" s="28"/>
      <c r="N216" s="28"/>
      <c r="O216" s="29"/>
    </row>
    <row r="217">
      <c r="I217" s="27"/>
      <c r="J217" s="27"/>
      <c r="K217" s="27"/>
      <c r="L217" s="27"/>
      <c r="M217" s="28"/>
      <c r="N217" s="28"/>
      <c r="O217" s="29"/>
    </row>
    <row r="218">
      <c r="I218" s="27"/>
      <c r="J218" s="27"/>
      <c r="K218" s="27"/>
      <c r="L218" s="27"/>
      <c r="M218" s="28"/>
      <c r="N218" s="28"/>
      <c r="O218" s="29"/>
    </row>
    <row r="219">
      <c r="I219" s="27"/>
      <c r="J219" s="27"/>
      <c r="K219" s="27"/>
      <c r="L219" s="27"/>
      <c r="M219" s="28"/>
      <c r="N219" s="28"/>
      <c r="O219" s="29"/>
    </row>
    <row r="220">
      <c r="I220" s="27"/>
      <c r="J220" s="27"/>
      <c r="K220" s="27"/>
      <c r="L220" s="27"/>
      <c r="M220" s="28"/>
      <c r="N220" s="28"/>
      <c r="O220" s="29"/>
    </row>
    <row r="221">
      <c r="I221" s="27"/>
      <c r="J221" s="27"/>
      <c r="K221" s="27"/>
      <c r="L221" s="27"/>
      <c r="M221" s="28"/>
      <c r="N221" s="28"/>
      <c r="O221" s="29"/>
    </row>
    <row r="222">
      <c r="I222" s="27"/>
      <c r="J222" s="27"/>
      <c r="K222" s="27"/>
      <c r="L222" s="27"/>
      <c r="M222" s="28"/>
      <c r="N222" s="28"/>
      <c r="O222" s="29"/>
    </row>
    <row r="223">
      <c r="I223" s="27"/>
      <c r="J223" s="27"/>
      <c r="K223" s="27"/>
      <c r="L223" s="27"/>
      <c r="M223" s="28"/>
      <c r="N223" s="28"/>
      <c r="O223" s="29"/>
    </row>
    <row r="224">
      <c r="I224" s="27"/>
      <c r="J224" s="27"/>
      <c r="K224" s="27"/>
      <c r="L224" s="27"/>
      <c r="M224" s="28"/>
      <c r="N224" s="28"/>
      <c r="O224" s="29"/>
    </row>
    <row r="225">
      <c r="I225" s="27"/>
      <c r="J225" s="27"/>
      <c r="K225" s="27"/>
      <c r="L225" s="27"/>
      <c r="M225" s="28"/>
      <c r="N225" s="28"/>
      <c r="O225" s="29"/>
    </row>
    <row r="226">
      <c r="I226" s="27"/>
      <c r="J226" s="27"/>
      <c r="K226" s="27"/>
      <c r="L226" s="27"/>
      <c r="M226" s="28"/>
      <c r="N226" s="28"/>
      <c r="O226" s="29"/>
    </row>
    <row r="227">
      <c r="I227" s="27"/>
      <c r="J227" s="27"/>
      <c r="K227" s="27"/>
      <c r="L227" s="27"/>
      <c r="M227" s="28"/>
      <c r="N227" s="28"/>
      <c r="O227" s="29"/>
    </row>
    <row r="228">
      <c r="I228" s="27"/>
      <c r="J228" s="27"/>
      <c r="K228" s="27"/>
      <c r="L228" s="27"/>
      <c r="M228" s="28"/>
      <c r="N228" s="28"/>
      <c r="O228" s="29"/>
    </row>
    <row r="229">
      <c r="I229" s="27"/>
      <c r="J229" s="27"/>
      <c r="K229" s="27"/>
      <c r="L229" s="27"/>
      <c r="M229" s="28"/>
      <c r="N229" s="28"/>
      <c r="O229" s="29"/>
    </row>
    <row r="230">
      <c r="I230" s="27"/>
      <c r="J230" s="27"/>
      <c r="K230" s="27"/>
      <c r="L230" s="27"/>
      <c r="M230" s="28"/>
      <c r="N230" s="28"/>
      <c r="O230" s="29"/>
    </row>
    <row r="231">
      <c r="I231" s="27"/>
      <c r="J231" s="27"/>
      <c r="K231" s="27"/>
      <c r="L231" s="27"/>
      <c r="M231" s="28"/>
      <c r="N231" s="28"/>
      <c r="O231" s="29"/>
    </row>
    <row r="232">
      <c r="I232" s="27"/>
      <c r="J232" s="27"/>
      <c r="K232" s="27"/>
      <c r="L232" s="27"/>
      <c r="M232" s="28"/>
      <c r="N232" s="28"/>
      <c r="O232" s="29"/>
    </row>
    <row r="233">
      <c r="I233" s="27"/>
      <c r="J233" s="27"/>
      <c r="K233" s="27"/>
      <c r="L233" s="27"/>
      <c r="M233" s="28"/>
      <c r="N233" s="28"/>
      <c r="O233" s="29"/>
    </row>
    <row r="234">
      <c r="I234" s="27"/>
      <c r="J234" s="27"/>
      <c r="K234" s="27"/>
      <c r="L234" s="27"/>
      <c r="M234" s="28"/>
      <c r="N234" s="28"/>
      <c r="O234" s="29"/>
    </row>
    <row r="235">
      <c r="I235" s="27"/>
      <c r="J235" s="27"/>
      <c r="K235" s="27"/>
      <c r="L235" s="27"/>
      <c r="M235" s="28"/>
      <c r="N235" s="28"/>
      <c r="O235" s="29"/>
    </row>
    <row r="236">
      <c r="I236" s="27"/>
      <c r="J236" s="27"/>
      <c r="K236" s="27"/>
      <c r="L236" s="27"/>
      <c r="M236" s="28"/>
      <c r="N236" s="28"/>
      <c r="O236" s="29"/>
    </row>
    <row r="237">
      <c r="I237" s="27"/>
      <c r="J237" s="27"/>
      <c r="K237" s="27"/>
      <c r="L237" s="27"/>
      <c r="M237" s="28"/>
      <c r="N237" s="28"/>
      <c r="O237" s="29"/>
    </row>
    <row r="238">
      <c r="I238" s="27"/>
      <c r="J238" s="27"/>
      <c r="K238" s="27"/>
      <c r="L238" s="27"/>
      <c r="M238" s="28"/>
      <c r="N238" s="28"/>
      <c r="O238" s="29"/>
    </row>
    <row r="239">
      <c r="I239" s="27"/>
      <c r="J239" s="27"/>
      <c r="K239" s="27"/>
      <c r="L239" s="27"/>
      <c r="M239" s="28"/>
      <c r="N239" s="28"/>
      <c r="O239" s="29"/>
    </row>
    <row r="240">
      <c r="I240" s="27"/>
      <c r="J240" s="27"/>
      <c r="K240" s="27"/>
      <c r="L240" s="27"/>
      <c r="M240" s="28"/>
      <c r="N240" s="28"/>
      <c r="O240" s="29"/>
    </row>
    <row r="241">
      <c r="I241" s="27"/>
      <c r="J241" s="27"/>
      <c r="K241" s="27"/>
      <c r="L241" s="27"/>
      <c r="M241" s="28"/>
      <c r="N241" s="28"/>
      <c r="O241" s="29"/>
    </row>
    <row r="242">
      <c r="I242" s="27"/>
      <c r="J242" s="27"/>
      <c r="K242" s="27"/>
      <c r="L242" s="27"/>
      <c r="M242" s="28"/>
      <c r="N242" s="28"/>
      <c r="O242" s="29"/>
    </row>
    <row r="243">
      <c r="I243" s="27"/>
      <c r="J243" s="27"/>
      <c r="K243" s="27"/>
      <c r="L243" s="27"/>
      <c r="M243" s="28"/>
      <c r="N243" s="28"/>
      <c r="O243" s="29"/>
    </row>
    <row r="244">
      <c r="I244" s="27"/>
      <c r="J244" s="27"/>
      <c r="K244" s="27"/>
      <c r="L244" s="27"/>
      <c r="M244" s="28"/>
      <c r="N244" s="28"/>
      <c r="O244" s="29"/>
    </row>
    <row r="245">
      <c r="I245" s="27"/>
      <c r="J245" s="27"/>
      <c r="K245" s="27"/>
      <c r="L245" s="27"/>
      <c r="M245" s="28"/>
      <c r="N245" s="28"/>
      <c r="O245" s="29"/>
    </row>
    <row r="246">
      <c r="I246" s="27"/>
      <c r="J246" s="27"/>
      <c r="K246" s="27"/>
      <c r="L246" s="27"/>
      <c r="M246" s="28"/>
      <c r="N246" s="28"/>
      <c r="O246" s="29"/>
    </row>
    <row r="247">
      <c r="I247" s="27"/>
      <c r="J247" s="27"/>
      <c r="K247" s="27"/>
      <c r="L247" s="27"/>
      <c r="M247" s="28"/>
      <c r="N247" s="28"/>
      <c r="O247" s="29"/>
    </row>
    <row r="248">
      <c r="I248" s="27"/>
      <c r="J248" s="27"/>
      <c r="K248" s="27"/>
      <c r="L248" s="27"/>
      <c r="M248" s="28"/>
      <c r="N248" s="28"/>
      <c r="O248" s="29"/>
    </row>
    <row r="249">
      <c r="I249" s="27"/>
      <c r="J249" s="27"/>
      <c r="K249" s="27"/>
      <c r="L249" s="27"/>
      <c r="M249" s="28"/>
      <c r="N249" s="28"/>
      <c r="O249" s="29"/>
    </row>
    <row r="250">
      <c r="I250" s="27"/>
      <c r="J250" s="27"/>
      <c r="K250" s="27"/>
      <c r="L250" s="27"/>
      <c r="M250" s="28"/>
      <c r="N250" s="28"/>
      <c r="O250" s="29"/>
    </row>
    <row r="251">
      <c r="I251" s="27"/>
      <c r="J251" s="27"/>
      <c r="K251" s="27"/>
      <c r="L251" s="27"/>
      <c r="M251" s="28"/>
      <c r="N251" s="28"/>
      <c r="O251" s="29"/>
    </row>
    <row r="252">
      <c r="I252" s="27"/>
      <c r="J252" s="27"/>
      <c r="K252" s="27"/>
      <c r="L252" s="27"/>
      <c r="M252" s="28"/>
      <c r="N252" s="28"/>
      <c r="O252" s="29"/>
    </row>
    <row r="253">
      <c r="I253" s="27"/>
      <c r="J253" s="27"/>
      <c r="K253" s="27"/>
      <c r="L253" s="27"/>
      <c r="M253" s="28"/>
      <c r="N253" s="28"/>
      <c r="O253" s="29"/>
    </row>
    <row r="254">
      <c r="I254" s="27"/>
      <c r="J254" s="27"/>
      <c r="K254" s="27"/>
      <c r="L254" s="27"/>
      <c r="M254" s="28"/>
      <c r="N254" s="28"/>
      <c r="O254" s="29"/>
    </row>
    <row r="255">
      <c r="I255" s="27"/>
      <c r="J255" s="27"/>
      <c r="K255" s="27"/>
      <c r="L255" s="27"/>
      <c r="M255" s="28"/>
      <c r="N255" s="28"/>
      <c r="O255" s="29"/>
    </row>
    <row r="256">
      <c r="I256" s="27"/>
      <c r="J256" s="27"/>
      <c r="K256" s="27"/>
      <c r="L256" s="27"/>
      <c r="M256" s="28"/>
      <c r="N256" s="28"/>
      <c r="O256" s="29"/>
    </row>
    <row r="257">
      <c r="I257" s="27"/>
      <c r="J257" s="27"/>
      <c r="K257" s="27"/>
      <c r="L257" s="27"/>
      <c r="M257" s="28"/>
      <c r="N257" s="28"/>
      <c r="O257" s="29"/>
    </row>
    <row r="258">
      <c r="I258" s="27"/>
      <c r="J258" s="27"/>
      <c r="K258" s="27"/>
      <c r="L258" s="27"/>
      <c r="M258" s="28"/>
      <c r="N258" s="28"/>
      <c r="O258" s="29"/>
    </row>
    <row r="259">
      <c r="I259" s="27"/>
      <c r="J259" s="27"/>
      <c r="K259" s="27"/>
      <c r="L259" s="27"/>
      <c r="M259" s="28"/>
      <c r="N259" s="28"/>
      <c r="O259" s="29"/>
    </row>
    <row r="260">
      <c r="I260" s="27"/>
      <c r="J260" s="27"/>
      <c r="K260" s="27"/>
      <c r="L260" s="27"/>
      <c r="M260" s="28"/>
      <c r="N260" s="28"/>
      <c r="O260" s="29"/>
    </row>
    <row r="261">
      <c r="I261" s="27"/>
      <c r="J261" s="27"/>
      <c r="K261" s="27"/>
      <c r="L261" s="27"/>
      <c r="M261" s="28"/>
      <c r="N261" s="28"/>
      <c r="O261" s="29"/>
    </row>
    <row r="262">
      <c r="I262" s="27"/>
      <c r="J262" s="27"/>
      <c r="K262" s="27"/>
      <c r="L262" s="27"/>
      <c r="M262" s="28"/>
      <c r="N262" s="28"/>
      <c r="O262" s="29"/>
    </row>
    <row r="263">
      <c r="I263" s="27"/>
      <c r="J263" s="27"/>
      <c r="K263" s="27"/>
      <c r="L263" s="27"/>
      <c r="M263" s="28"/>
      <c r="N263" s="28"/>
      <c r="O263" s="29"/>
    </row>
    <row r="264">
      <c r="I264" s="27"/>
      <c r="J264" s="27"/>
      <c r="K264" s="27"/>
      <c r="L264" s="27"/>
      <c r="M264" s="28"/>
      <c r="N264" s="28"/>
      <c r="O264" s="29"/>
    </row>
    <row r="265">
      <c r="I265" s="27"/>
      <c r="J265" s="27"/>
      <c r="K265" s="27"/>
      <c r="L265" s="27"/>
      <c r="M265" s="28"/>
      <c r="N265" s="28"/>
      <c r="O265" s="29"/>
    </row>
    <row r="266">
      <c r="I266" s="27"/>
      <c r="J266" s="27"/>
      <c r="K266" s="27"/>
      <c r="L266" s="27"/>
      <c r="M266" s="28"/>
      <c r="N266" s="28"/>
      <c r="O266" s="29"/>
    </row>
    <row r="267">
      <c r="I267" s="27"/>
      <c r="J267" s="27"/>
      <c r="K267" s="27"/>
      <c r="L267" s="27"/>
      <c r="M267" s="28"/>
      <c r="N267" s="28"/>
      <c r="O267" s="29"/>
    </row>
    <row r="268">
      <c r="I268" s="27"/>
      <c r="J268" s="27"/>
      <c r="K268" s="27"/>
      <c r="L268" s="27"/>
      <c r="M268" s="28"/>
      <c r="N268" s="28"/>
      <c r="O268" s="29"/>
    </row>
    <row r="269">
      <c r="I269" s="27"/>
      <c r="J269" s="27"/>
      <c r="K269" s="27"/>
      <c r="L269" s="27"/>
      <c r="M269" s="28"/>
      <c r="N269" s="28"/>
      <c r="O269" s="29"/>
    </row>
    <row r="270">
      <c r="I270" s="27"/>
      <c r="J270" s="27"/>
      <c r="K270" s="27"/>
      <c r="L270" s="27"/>
      <c r="M270" s="28"/>
      <c r="N270" s="28"/>
      <c r="O270" s="29"/>
    </row>
    <row r="271">
      <c r="I271" s="27"/>
      <c r="J271" s="27"/>
      <c r="K271" s="27"/>
      <c r="L271" s="27"/>
      <c r="M271" s="28"/>
      <c r="N271" s="28"/>
      <c r="O271" s="29"/>
    </row>
    <row r="272">
      <c r="I272" s="27"/>
      <c r="J272" s="27"/>
      <c r="K272" s="27"/>
      <c r="L272" s="27"/>
      <c r="M272" s="28"/>
      <c r="N272" s="28"/>
      <c r="O272" s="29"/>
    </row>
    <row r="273">
      <c r="I273" s="27"/>
      <c r="J273" s="27"/>
      <c r="K273" s="27"/>
      <c r="L273" s="27"/>
      <c r="M273" s="28"/>
      <c r="N273" s="28"/>
      <c r="O273" s="29"/>
    </row>
    <row r="274">
      <c r="I274" s="27"/>
      <c r="J274" s="27"/>
      <c r="K274" s="27"/>
      <c r="L274" s="27"/>
      <c r="M274" s="28"/>
      <c r="N274" s="28"/>
      <c r="O274" s="29"/>
    </row>
    <row r="275">
      <c r="I275" s="27"/>
      <c r="J275" s="27"/>
      <c r="K275" s="27"/>
      <c r="L275" s="27"/>
      <c r="M275" s="28"/>
      <c r="N275" s="28"/>
      <c r="O275" s="29"/>
    </row>
    <row r="276">
      <c r="I276" s="27"/>
      <c r="J276" s="27"/>
      <c r="K276" s="27"/>
      <c r="L276" s="27"/>
      <c r="M276" s="28"/>
      <c r="N276" s="28"/>
      <c r="O276" s="29"/>
    </row>
    <row r="277">
      <c r="I277" s="27"/>
      <c r="J277" s="27"/>
      <c r="K277" s="27"/>
      <c r="L277" s="27"/>
      <c r="M277" s="28"/>
      <c r="N277" s="28"/>
      <c r="O277" s="29"/>
    </row>
    <row r="278">
      <c r="I278" s="27"/>
      <c r="J278" s="27"/>
      <c r="K278" s="27"/>
      <c r="L278" s="27"/>
      <c r="M278" s="28"/>
      <c r="N278" s="28"/>
      <c r="O278" s="29"/>
    </row>
    <row r="279">
      <c r="I279" s="27"/>
      <c r="J279" s="27"/>
      <c r="K279" s="27"/>
      <c r="L279" s="27"/>
      <c r="M279" s="28"/>
      <c r="N279" s="28"/>
      <c r="O279" s="29"/>
    </row>
    <row r="280">
      <c r="I280" s="27"/>
      <c r="J280" s="27"/>
      <c r="K280" s="27"/>
      <c r="L280" s="27"/>
      <c r="M280" s="28"/>
      <c r="N280" s="28"/>
      <c r="O280" s="29"/>
    </row>
    <row r="281">
      <c r="I281" s="27"/>
      <c r="J281" s="27"/>
      <c r="K281" s="27"/>
      <c r="L281" s="27"/>
      <c r="M281" s="28"/>
      <c r="N281" s="28"/>
      <c r="O281" s="29"/>
    </row>
    <row r="282">
      <c r="I282" s="27"/>
      <c r="J282" s="27"/>
      <c r="K282" s="27"/>
      <c r="L282" s="27"/>
      <c r="M282" s="28"/>
      <c r="N282" s="28"/>
      <c r="O282" s="29"/>
    </row>
    <row r="283">
      <c r="I283" s="27"/>
      <c r="J283" s="27"/>
      <c r="K283" s="27"/>
      <c r="L283" s="27"/>
      <c r="M283" s="28"/>
      <c r="N283" s="28"/>
      <c r="O283" s="29"/>
    </row>
    <row r="284">
      <c r="I284" s="27"/>
      <c r="J284" s="27"/>
      <c r="K284" s="27"/>
      <c r="L284" s="27"/>
      <c r="M284" s="28"/>
      <c r="N284" s="28"/>
      <c r="O284" s="29"/>
    </row>
    <row r="285">
      <c r="I285" s="27"/>
      <c r="J285" s="27"/>
      <c r="K285" s="27"/>
      <c r="L285" s="27"/>
      <c r="M285" s="28"/>
      <c r="N285" s="28"/>
      <c r="O285" s="29"/>
    </row>
    <row r="286">
      <c r="I286" s="27"/>
      <c r="J286" s="27"/>
      <c r="K286" s="27"/>
      <c r="L286" s="27"/>
      <c r="M286" s="28"/>
      <c r="N286" s="28"/>
      <c r="O286" s="29"/>
    </row>
    <row r="287">
      <c r="I287" s="27"/>
      <c r="J287" s="27"/>
      <c r="K287" s="27"/>
      <c r="L287" s="27"/>
      <c r="M287" s="28"/>
      <c r="N287" s="28"/>
      <c r="O287" s="29"/>
    </row>
    <row r="288">
      <c r="I288" s="27"/>
      <c r="J288" s="27"/>
      <c r="K288" s="27"/>
      <c r="L288" s="27"/>
      <c r="M288" s="28"/>
      <c r="N288" s="28"/>
      <c r="O288" s="29"/>
    </row>
    <row r="289">
      <c r="I289" s="27"/>
      <c r="J289" s="27"/>
      <c r="K289" s="27"/>
      <c r="L289" s="27"/>
      <c r="M289" s="28"/>
      <c r="N289" s="28"/>
      <c r="O289" s="29"/>
    </row>
    <row r="290">
      <c r="I290" s="27"/>
      <c r="J290" s="27"/>
      <c r="K290" s="27"/>
      <c r="L290" s="27"/>
      <c r="M290" s="28"/>
      <c r="N290" s="28"/>
      <c r="O290" s="29"/>
    </row>
    <row r="291">
      <c r="I291" s="27"/>
      <c r="J291" s="27"/>
      <c r="K291" s="27"/>
      <c r="L291" s="27"/>
      <c r="M291" s="28"/>
      <c r="N291" s="28"/>
      <c r="O291" s="29"/>
    </row>
    <row r="292">
      <c r="I292" s="27"/>
      <c r="J292" s="27"/>
      <c r="K292" s="27"/>
      <c r="L292" s="27"/>
      <c r="M292" s="28"/>
      <c r="N292" s="28"/>
      <c r="O292" s="29"/>
    </row>
    <row r="293">
      <c r="I293" s="27"/>
      <c r="J293" s="27"/>
      <c r="K293" s="27"/>
      <c r="L293" s="27"/>
      <c r="M293" s="28"/>
      <c r="N293" s="28"/>
      <c r="O293" s="29"/>
    </row>
    <row r="294">
      <c r="I294" s="27"/>
      <c r="J294" s="27"/>
      <c r="K294" s="27"/>
      <c r="L294" s="27"/>
      <c r="M294" s="28"/>
      <c r="N294" s="28"/>
      <c r="O294" s="29"/>
    </row>
    <row r="295">
      <c r="I295" s="27"/>
      <c r="J295" s="27"/>
      <c r="K295" s="27"/>
      <c r="L295" s="27"/>
      <c r="M295" s="28"/>
      <c r="N295" s="28"/>
      <c r="O295" s="29"/>
    </row>
    <row r="296">
      <c r="I296" s="27"/>
      <c r="J296" s="27"/>
      <c r="K296" s="27"/>
      <c r="L296" s="27"/>
      <c r="M296" s="28"/>
      <c r="N296" s="28"/>
      <c r="O296" s="29"/>
    </row>
    <row r="297">
      <c r="I297" s="27"/>
      <c r="J297" s="27"/>
      <c r="K297" s="27"/>
      <c r="L297" s="27"/>
      <c r="M297" s="28"/>
      <c r="N297" s="28"/>
      <c r="O297" s="29"/>
    </row>
    <row r="298">
      <c r="I298" s="27"/>
      <c r="J298" s="27"/>
      <c r="K298" s="27"/>
      <c r="L298" s="27"/>
      <c r="M298" s="28"/>
      <c r="N298" s="28"/>
      <c r="O298" s="29"/>
    </row>
    <row r="299">
      <c r="I299" s="27"/>
      <c r="J299" s="27"/>
      <c r="K299" s="27"/>
      <c r="L299" s="27"/>
      <c r="M299" s="28"/>
      <c r="N299" s="28"/>
      <c r="O299" s="29"/>
    </row>
    <row r="300">
      <c r="I300" s="27"/>
      <c r="J300" s="27"/>
      <c r="K300" s="27"/>
      <c r="L300" s="27"/>
      <c r="M300" s="28"/>
      <c r="N300" s="28"/>
      <c r="O300" s="29"/>
    </row>
    <row r="301">
      <c r="I301" s="27"/>
      <c r="J301" s="27"/>
      <c r="K301" s="27"/>
      <c r="L301" s="27"/>
      <c r="M301" s="28"/>
      <c r="N301" s="28"/>
      <c r="O301" s="29"/>
    </row>
    <row r="302">
      <c r="I302" s="27"/>
      <c r="J302" s="27"/>
      <c r="K302" s="27"/>
      <c r="L302" s="27"/>
      <c r="M302" s="28"/>
      <c r="N302" s="28"/>
      <c r="O302" s="29"/>
    </row>
    <row r="303">
      <c r="I303" s="27"/>
      <c r="J303" s="27"/>
      <c r="K303" s="27"/>
      <c r="L303" s="27"/>
      <c r="M303" s="28"/>
      <c r="N303" s="28"/>
      <c r="O303" s="29"/>
    </row>
    <row r="304">
      <c r="I304" s="27"/>
      <c r="J304" s="27"/>
      <c r="K304" s="27"/>
      <c r="L304" s="27"/>
      <c r="M304" s="28"/>
      <c r="N304" s="28"/>
      <c r="O304" s="29"/>
    </row>
    <row r="305">
      <c r="I305" s="27"/>
      <c r="J305" s="27"/>
      <c r="K305" s="27"/>
      <c r="L305" s="27"/>
      <c r="M305" s="28"/>
      <c r="N305" s="28"/>
      <c r="O305" s="29"/>
    </row>
    <row r="306">
      <c r="I306" s="27"/>
      <c r="J306" s="27"/>
      <c r="K306" s="27"/>
      <c r="L306" s="27"/>
      <c r="M306" s="28"/>
      <c r="N306" s="28"/>
      <c r="O306" s="29"/>
    </row>
    <row r="307">
      <c r="I307" s="27"/>
      <c r="J307" s="27"/>
      <c r="K307" s="27"/>
      <c r="L307" s="27"/>
      <c r="M307" s="28"/>
      <c r="N307" s="28"/>
      <c r="O307" s="29"/>
    </row>
    <row r="308">
      <c r="I308" s="27"/>
      <c r="J308" s="27"/>
      <c r="K308" s="27"/>
      <c r="L308" s="27"/>
      <c r="M308" s="28"/>
      <c r="N308" s="28"/>
      <c r="O308" s="29"/>
    </row>
    <row r="309">
      <c r="I309" s="27"/>
      <c r="J309" s="27"/>
      <c r="K309" s="27"/>
      <c r="L309" s="27"/>
      <c r="M309" s="28"/>
      <c r="N309" s="28"/>
      <c r="O309" s="29"/>
    </row>
    <row r="310">
      <c r="I310" s="27"/>
      <c r="J310" s="27"/>
      <c r="K310" s="27"/>
      <c r="L310" s="27"/>
      <c r="M310" s="28"/>
      <c r="N310" s="28"/>
      <c r="O310" s="29"/>
    </row>
    <row r="311">
      <c r="I311" s="27"/>
      <c r="J311" s="27"/>
      <c r="K311" s="27"/>
      <c r="L311" s="27"/>
      <c r="M311" s="28"/>
      <c r="N311" s="28"/>
      <c r="O311" s="29"/>
    </row>
    <row r="312">
      <c r="I312" s="27"/>
      <c r="J312" s="27"/>
      <c r="K312" s="27"/>
      <c r="L312" s="27"/>
      <c r="M312" s="28"/>
      <c r="N312" s="28"/>
      <c r="O312" s="29"/>
    </row>
    <row r="313">
      <c r="I313" s="27"/>
      <c r="J313" s="27"/>
      <c r="K313" s="27"/>
      <c r="L313" s="27"/>
      <c r="M313" s="28"/>
      <c r="N313" s="28"/>
      <c r="O313" s="29"/>
    </row>
    <row r="314">
      <c r="I314" s="27"/>
      <c r="J314" s="27"/>
      <c r="K314" s="27"/>
      <c r="L314" s="27"/>
      <c r="M314" s="28"/>
      <c r="N314" s="28"/>
      <c r="O314" s="29"/>
    </row>
    <row r="315">
      <c r="I315" s="27"/>
      <c r="J315" s="27"/>
      <c r="K315" s="27"/>
      <c r="L315" s="27"/>
      <c r="M315" s="28"/>
      <c r="N315" s="28"/>
      <c r="O315" s="29"/>
    </row>
    <row r="316">
      <c r="I316" s="27"/>
      <c r="J316" s="27"/>
      <c r="K316" s="27"/>
      <c r="L316" s="27"/>
      <c r="M316" s="28"/>
      <c r="N316" s="28"/>
      <c r="O316" s="29"/>
    </row>
    <row r="317">
      <c r="I317" s="27"/>
      <c r="J317" s="27"/>
      <c r="K317" s="27"/>
      <c r="L317" s="27"/>
      <c r="M317" s="28"/>
      <c r="N317" s="28"/>
      <c r="O317" s="29"/>
    </row>
    <row r="318">
      <c r="I318" s="27"/>
      <c r="J318" s="27"/>
      <c r="K318" s="27"/>
      <c r="L318" s="27"/>
      <c r="M318" s="28"/>
      <c r="N318" s="28"/>
      <c r="O318" s="29"/>
    </row>
    <row r="319">
      <c r="I319" s="27"/>
      <c r="J319" s="27"/>
      <c r="K319" s="27"/>
      <c r="L319" s="27"/>
      <c r="M319" s="28"/>
      <c r="N319" s="28"/>
      <c r="O319" s="29"/>
    </row>
    <row r="320">
      <c r="I320" s="27"/>
      <c r="J320" s="27"/>
      <c r="K320" s="27"/>
      <c r="L320" s="27"/>
      <c r="M320" s="28"/>
      <c r="N320" s="28"/>
      <c r="O320" s="29"/>
    </row>
    <row r="321">
      <c r="I321" s="27"/>
      <c r="J321" s="27"/>
      <c r="K321" s="27"/>
      <c r="L321" s="27"/>
      <c r="M321" s="28"/>
      <c r="N321" s="28"/>
      <c r="O321" s="29"/>
    </row>
    <row r="322">
      <c r="I322" s="27"/>
      <c r="J322" s="27"/>
      <c r="K322" s="27"/>
      <c r="L322" s="27"/>
      <c r="M322" s="28"/>
      <c r="N322" s="28"/>
      <c r="O322" s="29"/>
    </row>
    <row r="323">
      <c r="I323" s="27"/>
      <c r="J323" s="27"/>
      <c r="K323" s="27"/>
      <c r="L323" s="27"/>
      <c r="M323" s="28"/>
      <c r="N323" s="28"/>
      <c r="O323" s="29"/>
    </row>
    <row r="324">
      <c r="I324" s="27"/>
      <c r="J324" s="27"/>
      <c r="K324" s="27"/>
      <c r="L324" s="27"/>
      <c r="M324" s="28"/>
      <c r="N324" s="28"/>
      <c r="O324" s="29"/>
    </row>
    <row r="325">
      <c r="I325" s="27"/>
      <c r="J325" s="27"/>
      <c r="K325" s="27"/>
      <c r="L325" s="27"/>
      <c r="M325" s="28"/>
      <c r="N325" s="28"/>
      <c r="O325" s="29"/>
    </row>
    <row r="326">
      <c r="I326" s="27"/>
      <c r="J326" s="27"/>
      <c r="K326" s="27"/>
      <c r="L326" s="27"/>
      <c r="M326" s="28"/>
      <c r="N326" s="28"/>
      <c r="O326" s="29"/>
    </row>
    <row r="327">
      <c r="I327" s="27"/>
      <c r="J327" s="27"/>
      <c r="K327" s="27"/>
      <c r="L327" s="27"/>
      <c r="M327" s="28"/>
      <c r="N327" s="28"/>
      <c r="O327" s="29"/>
    </row>
    <row r="328">
      <c r="I328" s="27"/>
      <c r="J328" s="27"/>
      <c r="K328" s="27"/>
      <c r="L328" s="27"/>
      <c r="M328" s="28"/>
      <c r="N328" s="28"/>
      <c r="O328" s="29"/>
    </row>
    <row r="329">
      <c r="I329" s="27"/>
      <c r="J329" s="27"/>
      <c r="K329" s="27"/>
      <c r="L329" s="27"/>
      <c r="M329" s="28"/>
      <c r="N329" s="28"/>
      <c r="O329" s="29"/>
    </row>
    <row r="330">
      <c r="I330" s="27"/>
      <c r="J330" s="27"/>
      <c r="K330" s="27"/>
      <c r="L330" s="27"/>
      <c r="M330" s="28"/>
      <c r="N330" s="28"/>
      <c r="O330" s="29"/>
    </row>
    <row r="331">
      <c r="I331" s="27"/>
      <c r="J331" s="27"/>
      <c r="K331" s="27"/>
      <c r="L331" s="27"/>
      <c r="M331" s="28"/>
      <c r="N331" s="28"/>
      <c r="O331" s="29"/>
    </row>
    <row r="332">
      <c r="I332" s="27"/>
      <c r="J332" s="27"/>
      <c r="K332" s="27"/>
      <c r="L332" s="27"/>
      <c r="M332" s="28"/>
      <c r="N332" s="28"/>
      <c r="O332" s="29"/>
    </row>
    <row r="333">
      <c r="I333" s="27"/>
      <c r="J333" s="27"/>
      <c r="K333" s="27"/>
      <c r="L333" s="27"/>
      <c r="M333" s="28"/>
      <c r="N333" s="28"/>
      <c r="O333" s="29"/>
    </row>
    <row r="334">
      <c r="I334" s="27"/>
      <c r="J334" s="27"/>
      <c r="K334" s="27"/>
      <c r="L334" s="27"/>
      <c r="M334" s="28"/>
      <c r="N334" s="28"/>
      <c r="O334" s="29"/>
    </row>
    <row r="335">
      <c r="I335" s="27"/>
      <c r="J335" s="27"/>
      <c r="K335" s="27"/>
      <c r="L335" s="27"/>
      <c r="M335" s="28"/>
      <c r="N335" s="28"/>
      <c r="O335" s="29"/>
    </row>
    <row r="336">
      <c r="I336" s="27"/>
      <c r="J336" s="27"/>
      <c r="K336" s="27"/>
      <c r="L336" s="27"/>
      <c r="M336" s="28"/>
      <c r="N336" s="28"/>
      <c r="O336" s="29"/>
    </row>
    <row r="337">
      <c r="I337" s="27"/>
      <c r="J337" s="27"/>
      <c r="K337" s="27"/>
      <c r="L337" s="27"/>
      <c r="M337" s="28"/>
      <c r="N337" s="28"/>
      <c r="O337" s="29"/>
    </row>
    <row r="338">
      <c r="I338" s="27"/>
      <c r="J338" s="27"/>
      <c r="K338" s="27"/>
      <c r="L338" s="27"/>
      <c r="M338" s="28"/>
      <c r="N338" s="28"/>
      <c r="O338" s="29"/>
    </row>
    <row r="339">
      <c r="I339" s="27"/>
      <c r="J339" s="27"/>
      <c r="K339" s="27"/>
      <c r="L339" s="27"/>
      <c r="M339" s="28"/>
      <c r="N339" s="28"/>
      <c r="O339" s="29"/>
    </row>
    <row r="340">
      <c r="I340" s="27"/>
      <c r="J340" s="27"/>
      <c r="K340" s="27"/>
      <c r="L340" s="27"/>
      <c r="M340" s="28"/>
      <c r="N340" s="28"/>
      <c r="O340" s="29"/>
    </row>
    <row r="341">
      <c r="I341" s="27"/>
      <c r="J341" s="27"/>
      <c r="K341" s="27"/>
      <c r="L341" s="27"/>
      <c r="M341" s="28"/>
      <c r="N341" s="28"/>
      <c r="O341" s="29"/>
    </row>
    <row r="342">
      <c r="I342" s="27"/>
      <c r="J342" s="27"/>
      <c r="K342" s="27"/>
      <c r="L342" s="27"/>
      <c r="M342" s="28"/>
      <c r="N342" s="28"/>
      <c r="O342" s="29"/>
    </row>
    <row r="343">
      <c r="I343" s="27"/>
      <c r="J343" s="27"/>
      <c r="K343" s="27"/>
      <c r="L343" s="27"/>
      <c r="M343" s="28"/>
      <c r="N343" s="28"/>
      <c r="O343" s="29"/>
    </row>
    <row r="344">
      <c r="I344" s="27"/>
      <c r="J344" s="27"/>
      <c r="K344" s="27"/>
      <c r="L344" s="27"/>
      <c r="M344" s="28"/>
      <c r="N344" s="28"/>
      <c r="O344" s="29"/>
    </row>
    <row r="345">
      <c r="I345" s="27"/>
      <c r="J345" s="27"/>
      <c r="K345" s="27"/>
      <c r="L345" s="27"/>
      <c r="M345" s="28"/>
      <c r="N345" s="28"/>
      <c r="O345" s="29"/>
    </row>
    <row r="346">
      <c r="I346" s="27"/>
      <c r="J346" s="27"/>
      <c r="K346" s="27"/>
      <c r="L346" s="27"/>
      <c r="M346" s="28"/>
      <c r="N346" s="28"/>
      <c r="O346" s="29"/>
    </row>
    <row r="347">
      <c r="I347" s="27"/>
      <c r="J347" s="27"/>
      <c r="K347" s="27"/>
      <c r="L347" s="27"/>
      <c r="M347" s="28"/>
      <c r="N347" s="28"/>
      <c r="O347" s="29"/>
    </row>
    <row r="348">
      <c r="I348" s="27"/>
      <c r="J348" s="27"/>
      <c r="K348" s="27"/>
      <c r="L348" s="27"/>
      <c r="M348" s="28"/>
      <c r="N348" s="28"/>
      <c r="O348" s="29"/>
    </row>
    <row r="349">
      <c r="I349" s="27"/>
      <c r="J349" s="27"/>
      <c r="K349" s="27"/>
      <c r="L349" s="27"/>
      <c r="M349" s="28"/>
      <c r="N349" s="28"/>
      <c r="O349" s="29"/>
    </row>
    <row r="350">
      <c r="I350" s="27"/>
      <c r="J350" s="27"/>
      <c r="K350" s="27"/>
      <c r="L350" s="27"/>
      <c r="M350" s="28"/>
      <c r="N350" s="28"/>
      <c r="O350" s="29"/>
    </row>
    <row r="351">
      <c r="I351" s="27"/>
      <c r="J351" s="27"/>
      <c r="K351" s="27"/>
      <c r="L351" s="27"/>
      <c r="M351" s="28"/>
      <c r="N351" s="28"/>
      <c r="O351" s="29"/>
    </row>
    <row r="352">
      <c r="I352" s="27"/>
      <c r="J352" s="27"/>
      <c r="K352" s="27"/>
      <c r="L352" s="27"/>
      <c r="M352" s="28"/>
      <c r="N352" s="28"/>
      <c r="O352" s="29"/>
    </row>
    <row r="353">
      <c r="I353" s="27"/>
      <c r="J353" s="27"/>
      <c r="K353" s="27"/>
      <c r="L353" s="27"/>
      <c r="M353" s="28"/>
      <c r="N353" s="28"/>
      <c r="O353" s="29"/>
    </row>
    <row r="354">
      <c r="I354" s="27"/>
      <c r="J354" s="27"/>
      <c r="K354" s="27"/>
      <c r="L354" s="27"/>
      <c r="M354" s="28"/>
      <c r="N354" s="28"/>
      <c r="O354" s="29"/>
    </row>
    <row r="355">
      <c r="I355" s="27"/>
      <c r="J355" s="27"/>
      <c r="K355" s="27"/>
      <c r="L355" s="27"/>
      <c r="M355" s="28"/>
      <c r="N355" s="28"/>
      <c r="O355" s="29"/>
    </row>
    <row r="356">
      <c r="I356" s="27"/>
      <c r="J356" s="27"/>
      <c r="K356" s="27"/>
      <c r="L356" s="27"/>
      <c r="M356" s="28"/>
      <c r="N356" s="28"/>
      <c r="O356" s="29"/>
    </row>
    <row r="357">
      <c r="I357" s="27"/>
      <c r="J357" s="27"/>
      <c r="K357" s="27"/>
      <c r="L357" s="27"/>
      <c r="M357" s="28"/>
      <c r="N357" s="28"/>
      <c r="O357" s="29"/>
    </row>
    <row r="358">
      <c r="I358" s="27"/>
      <c r="J358" s="27"/>
      <c r="K358" s="27"/>
      <c r="L358" s="27"/>
      <c r="M358" s="28"/>
      <c r="N358" s="28"/>
      <c r="O358" s="29"/>
    </row>
    <row r="359">
      <c r="I359" s="27"/>
      <c r="J359" s="27"/>
      <c r="K359" s="27"/>
      <c r="L359" s="27"/>
      <c r="M359" s="28"/>
      <c r="N359" s="28"/>
      <c r="O359" s="29"/>
    </row>
    <row r="360">
      <c r="I360" s="27"/>
      <c r="J360" s="27"/>
      <c r="K360" s="27"/>
      <c r="L360" s="27"/>
      <c r="M360" s="28"/>
      <c r="N360" s="28"/>
      <c r="O360" s="29"/>
    </row>
    <row r="361">
      <c r="I361" s="27"/>
      <c r="J361" s="27"/>
      <c r="K361" s="27"/>
      <c r="L361" s="27"/>
      <c r="M361" s="28"/>
      <c r="N361" s="28"/>
      <c r="O361" s="29"/>
    </row>
    <row r="362">
      <c r="I362" s="27"/>
      <c r="J362" s="27"/>
      <c r="K362" s="27"/>
      <c r="L362" s="27"/>
      <c r="M362" s="28"/>
      <c r="N362" s="28"/>
      <c r="O362" s="29"/>
    </row>
    <row r="363">
      <c r="I363" s="27"/>
      <c r="J363" s="27"/>
      <c r="K363" s="27"/>
      <c r="L363" s="27"/>
      <c r="M363" s="28"/>
      <c r="N363" s="28"/>
      <c r="O363" s="29"/>
    </row>
    <row r="364">
      <c r="I364" s="27"/>
      <c r="J364" s="27"/>
      <c r="K364" s="27"/>
      <c r="L364" s="27"/>
      <c r="M364" s="28"/>
      <c r="N364" s="28"/>
      <c r="O364" s="29"/>
    </row>
    <row r="365">
      <c r="I365" s="27"/>
      <c r="J365" s="27"/>
      <c r="K365" s="27"/>
      <c r="L365" s="27"/>
      <c r="M365" s="28"/>
      <c r="N365" s="28"/>
      <c r="O365" s="29"/>
    </row>
    <row r="366">
      <c r="I366" s="27"/>
      <c r="J366" s="27"/>
      <c r="K366" s="27"/>
      <c r="L366" s="27"/>
      <c r="M366" s="28"/>
      <c r="N366" s="28"/>
      <c r="O366" s="29"/>
    </row>
    <row r="367">
      <c r="I367" s="27"/>
      <c r="J367" s="27"/>
      <c r="K367" s="27"/>
      <c r="L367" s="27"/>
      <c r="M367" s="28"/>
      <c r="N367" s="28"/>
      <c r="O367" s="29"/>
    </row>
    <row r="368">
      <c r="I368" s="27"/>
      <c r="J368" s="27"/>
      <c r="K368" s="27"/>
      <c r="L368" s="27"/>
      <c r="M368" s="28"/>
      <c r="N368" s="28"/>
      <c r="O368" s="29"/>
    </row>
    <row r="369">
      <c r="I369" s="27"/>
      <c r="J369" s="27"/>
      <c r="K369" s="27"/>
      <c r="L369" s="27"/>
      <c r="M369" s="28"/>
      <c r="N369" s="28"/>
      <c r="O369" s="29"/>
    </row>
    <row r="370">
      <c r="I370" s="27"/>
      <c r="J370" s="27"/>
      <c r="K370" s="27"/>
      <c r="L370" s="27"/>
      <c r="M370" s="28"/>
      <c r="N370" s="28"/>
      <c r="O370" s="29"/>
    </row>
    <row r="371">
      <c r="I371" s="27"/>
      <c r="J371" s="27"/>
      <c r="K371" s="27"/>
      <c r="L371" s="27"/>
      <c r="M371" s="28"/>
      <c r="N371" s="28"/>
      <c r="O371" s="29"/>
    </row>
    <row r="372">
      <c r="I372" s="27"/>
      <c r="J372" s="27"/>
      <c r="K372" s="27"/>
      <c r="L372" s="27"/>
      <c r="M372" s="28"/>
      <c r="N372" s="28"/>
      <c r="O372" s="29"/>
    </row>
    <row r="373">
      <c r="I373" s="27"/>
      <c r="J373" s="27"/>
      <c r="K373" s="27"/>
      <c r="L373" s="27"/>
      <c r="M373" s="28"/>
      <c r="N373" s="28"/>
      <c r="O373" s="29"/>
    </row>
    <row r="374">
      <c r="I374" s="27"/>
      <c r="J374" s="27"/>
      <c r="K374" s="27"/>
      <c r="L374" s="27"/>
      <c r="M374" s="28"/>
      <c r="N374" s="28"/>
      <c r="O374" s="29"/>
    </row>
    <row r="375">
      <c r="I375" s="27"/>
      <c r="J375" s="27"/>
      <c r="K375" s="27"/>
      <c r="L375" s="27"/>
      <c r="M375" s="28"/>
      <c r="N375" s="28"/>
      <c r="O375" s="29"/>
    </row>
    <row r="376">
      <c r="I376" s="27"/>
      <c r="J376" s="27"/>
      <c r="K376" s="27"/>
      <c r="L376" s="27"/>
      <c r="M376" s="28"/>
      <c r="N376" s="28"/>
      <c r="O376" s="29"/>
    </row>
    <row r="377">
      <c r="I377" s="27"/>
      <c r="J377" s="27"/>
      <c r="K377" s="27"/>
      <c r="L377" s="27"/>
      <c r="M377" s="28"/>
      <c r="N377" s="28"/>
      <c r="O377" s="29"/>
    </row>
    <row r="378">
      <c r="I378" s="27"/>
      <c r="J378" s="27"/>
      <c r="K378" s="27"/>
      <c r="L378" s="27"/>
      <c r="M378" s="28"/>
      <c r="N378" s="28"/>
      <c r="O378" s="29"/>
    </row>
    <row r="379">
      <c r="I379" s="27"/>
      <c r="J379" s="27"/>
      <c r="K379" s="27"/>
      <c r="L379" s="27"/>
      <c r="M379" s="28"/>
      <c r="N379" s="28"/>
      <c r="O379" s="29"/>
    </row>
    <row r="380">
      <c r="I380" s="27"/>
      <c r="J380" s="27"/>
      <c r="K380" s="27"/>
      <c r="L380" s="27"/>
      <c r="M380" s="28"/>
      <c r="N380" s="28"/>
      <c r="O380" s="29"/>
    </row>
    <row r="381">
      <c r="I381" s="27"/>
      <c r="J381" s="27"/>
      <c r="K381" s="27"/>
      <c r="L381" s="27"/>
      <c r="M381" s="28"/>
      <c r="N381" s="28"/>
      <c r="O381" s="29"/>
    </row>
    <row r="382">
      <c r="I382" s="27"/>
      <c r="J382" s="27"/>
      <c r="K382" s="27"/>
      <c r="L382" s="27"/>
      <c r="M382" s="28"/>
      <c r="N382" s="28"/>
      <c r="O382" s="29"/>
    </row>
    <row r="383">
      <c r="I383" s="27"/>
      <c r="J383" s="27"/>
      <c r="K383" s="27"/>
      <c r="L383" s="27"/>
      <c r="M383" s="28"/>
      <c r="N383" s="28"/>
      <c r="O383" s="29"/>
    </row>
    <row r="384">
      <c r="I384" s="27"/>
      <c r="J384" s="27"/>
      <c r="K384" s="27"/>
      <c r="L384" s="27"/>
      <c r="M384" s="28"/>
      <c r="N384" s="28"/>
      <c r="O384" s="29"/>
    </row>
    <row r="385">
      <c r="I385" s="27"/>
      <c r="J385" s="27"/>
      <c r="K385" s="27"/>
      <c r="L385" s="27"/>
      <c r="M385" s="28"/>
      <c r="N385" s="28"/>
      <c r="O385" s="29"/>
    </row>
    <row r="386">
      <c r="I386" s="27"/>
      <c r="J386" s="27"/>
      <c r="K386" s="27"/>
      <c r="L386" s="27"/>
      <c r="M386" s="28"/>
      <c r="N386" s="28"/>
      <c r="O386" s="29"/>
    </row>
    <row r="387">
      <c r="I387" s="27"/>
      <c r="J387" s="27"/>
      <c r="K387" s="27"/>
      <c r="L387" s="27"/>
      <c r="M387" s="28"/>
      <c r="N387" s="28"/>
      <c r="O387" s="29"/>
    </row>
    <row r="388">
      <c r="I388" s="27"/>
      <c r="J388" s="27"/>
      <c r="K388" s="27"/>
      <c r="L388" s="27"/>
      <c r="M388" s="28"/>
      <c r="N388" s="28"/>
      <c r="O388" s="29"/>
    </row>
    <row r="389">
      <c r="I389" s="27"/>
      <c r="J389" s="27"/>
      <c r="K389" s="27"/>
      <c r="L389" s="27"/>
      <c r="M389" s="28"/>
      <c r="N389" s="28"/>
      <c r="O389" s="29"/>
    </row>
    <row r="390">
      <c r="I390" s="27"/>
      <c r="J390" s="27"/>
      <c r="K390" s="27"/>
      <c r="L390" s="27"/>
      <c r="M390" s="28"/>
      <c r="N390" s="28"/>
      <c r="O390" s="29"/>
    </row>
    <row r="391">
      <c r="I391" s="27"/>
      <c r="J391" s="27"/>
      <c r="K391" s="27"/>
      <c r="L391" s="27"/>
      <c r="M391" s="28"/>
      <c r="N391" s="28"/>
      <c r="O391" s="29"/>
    </row>
    <row r="392">
      <c r="I392" s="27"/>
      <c r="J392" s="27"/>
      <c r="K392" s="27"/>
      <c r="L392" s="27"/>
      <c r="M392" s="28"/>
      <c r="N392" s="28"/>
      <c r="O392" s="29"/>
    </row>
    <row r="393">
      <c r="I393" s="27"/>
      <c r="J393" s="27"/>
      <c r="K393" s="27"/>
      <c r="L393" s="27"/>
      <c r="M393" s="28"/>
      <c r="N393" s="28"/>
      <c r="O393" s="29"/>
    </row>
    <row r="394">
      <c r="I394" s="27"/>
      <c r="J394" s="27"/>
      <c r="K394" s="27"/>
      <c r="L394" s="27"/>
      <c r="M394" s="28"/>
      <c r="N394" s="28"/>
      <c r="O394" s="29"/>
    </row>
    <row r="395">
      <c r="I395" s="27"/>
      <c r="J395" s="27"/>
      <c r="K395" s="27"/>
      <c r="L395" s="27"/>
      <c r="M395" s="28"/>
      <c r="N395" s="28"/>
      <c r="O395" s="29"/>
    </row>
    <row r="396">
      <c r="I396" s="27"/>
      <c r="J396" s="27"/>
      <c r="K396" s="27"/>
      <c r="L396" s="27"/>
      <c r="M396" s="28"/>
      <c r="N396" s="28"/>
      <c r="O396" s="29"/>
    </row>
    <row r="397">
      <c r="I397" s="27"/>
      <c r="J397" s="27"/>
      <c r="K397" s="27"/>
      <c r="L397" s="27"/>
      <c r="M397" s="28"/>
      <c r="N397" s="28"/>
      <c r="O397" s="29"/>
    </row>
    <row r="398">
      <c r="I398" s="27"/>
      <c r="J398" s="27"/>
      <c r="K398" s="27"/>
      <c r="L398" s="27"/>
      <c r="M398" s="28"/>
      <c r="N398" s="28"/>
      <c r="O398" s="29"/>
    </row>
    <row r="399">
      <c r="I399" s="27"/>
      <c r="J399" s="27"/>
      <c r="K399" s="27"/>
      <c r="L399" s="27"/>
      <c r="M399" s="28"/>
      <c r="N399" s="28"/>
      <c r="O399" s="29"/>
    </row>
    <row r="400">
      <c r="I400" s="27"/>
      <c r="J400" s="27"/>
      <c r="K400" s="27"/>
      <c r="L400" s="27"/>
      <c r="M400" s="28"/>
      <c r="N400" s="28"/>
      <c r="O400" s="29"/>
    </row>
    <row r="401">
      <c r="I401" s="27"/>
      <c r="J401" s="27"/>
      <c r="K401" s="27"/>
      <c r="L401" s="27"/>
      <c r="M401" s="28"/>
      <c r="N401" s="28"/>
      <c r="O401" s="29"/>
    </row>
    <row r="402">
      <c r="I402" s="27"/>
      <c r="J402" s="27"/>
      <c r="K402" s="27"/>
      <c r="L402" s="27"/>
      <c r="M402" s="28"/>
      <c r="N402" s="28"/>
      <c r="O402" s="29"/>
    </row>
    <row r="403">
      <c r="I403" s="27"/>
      <c r="J403" s="27"/>
      <c r="K403" s="27"/>
      <c r="L403" s="27"/>
      <c r="M403" s="28"/>
      <c r="N403" s="28"/>
      <c r="O403" s="29"/>
    </row>
    <row r="404">
      <c r="I404" s="27"/>
      <c r="J404" s="27"/>
      <c r="K404" s="27"/>
      <c r="L404" s="27"/>
      <c r="M404" s="28"/>
      <c r="N404" s="28"/>
      <c r="O404" s="29"/>
    </row>
    <row r="405">
      <c r="I405" s="27"/>
      <c r="J405" s="27"/>
      <c r="K405" s="27"/>
      <c r="L405" s="27"/>
      <c r="M405" s="28"/>
      <c r="N405" s="28"/>
      <c r="O405" s="29"/>
    </row>
    <row r="406">
      <c r="I406" s="27"/>
      <c r="J406" s="27"/>
      <c r="K406" s="27"/>
      <c r="L406" s="27"/>
      <c r="M406" s="28"/>
      <c r="N406" s="28"/>
      <c r="O406" s="29"/>
    </row>
    <row r="407">
      <c r="I407" s="27"/>
      <c r="J407" s="27"/>
      <c r="K407" s="27"/>
      <c r="L407" s="27"/>
      <c r="M407" s="28"/>
      <c r="N407" s="28"/>
      <c r="O407" s="29"/>
    </row>
    <row r="408">
      <c r="I408" s="27"/>
      <c r="J408" s="27"/>
      <c r="K408" s="27"/>
      <c r="L408" s="27"/>
      <c r="M408" s="28"/>
      <c r="N408" s="28"/>
      <c r="O408" s="29"/>
    </row>
    <row r="409">
      <c r="I409" s="27"/>
      <c r="J409" s="27"/>
      <c r="K409" s="27"/>
      <c r="L409" s="27"/>
      <c r="M409" s="28"/>
      <c r="N409" s="28"/>
      <c r="O409" s="29"/>
    </row>
    <row r="410">
      <c r="I410" s="27"/>
      <c r="J410" s="27"/>
      <c r="K410" s="27"/>
      <c r="L410" s="27"/>
      <c r="M410" s="28"/>
      <c r="N410" s="28"/>
      <c r="O410" s="29"/>
    </row>
    <row r="411">
      <c r="I411" s="27"/>
      <c r="J411" s="27"/>
      <c r="K411" s="27"/>
      <c r="L411" s="27"/>
      <c r="M411" s="28"/>
      <c r="N411" s="28"/>
      <c r="O411" s="29"/>
    </row>
    <row r="412">
      <c r="I412" s="27"/>
      <c r="J412" s="27"/>
      <c r="K412" s="27"/>
      <c r="L412" s="27"/>
      <c r="M412" s="28"/>
      <c r="N412" s="28"/>
      <c r="O412" s="29"/>
    </row>
    <row r="413">
      <c r="I413" s="27"/>
      <c r="J413" s="27"/>
      <c r="K413" s="27"/>
      <c r="L413" s="27"/>
      <c r="M413" s="28"/>
      <c r="N413" s="28"/>
      <c r="O413" s="29"/>
    </row>
    <row r="414">
      <c r="I414" s="27"/>
      <c r="J414" s="27"/>
      <c r="K414" s="27"/>
      <c r="L414" s="27"/>
      <c r="M414" s="28"/>
      <c r="N414" s="28"/>
      <c r="O414" s="29"/>
    </row>
    <row r="415">
      <c r="I415" s="27"/>
      <c r="J415" s="27"/>
      <c r="K415" s="27"/>
      <c r="L415" s="27"/>
      <c r="M415" s="28"/>
      <c r="N415" s="28"/>
      <c r="O415" s="29"/>
    </row>
    <row r="416">
      <c r="I416" s="27"/>
      <c r="J416" s="27"/>
      <c r="K416" s="27"/>
      <c r="L416" s="27"/>
      <c r="M416" s="28"/>
      <c r="N416" s="28"/>
      <c r="O416" s="29"/>
    </row>
    <row r="417">
      <c r="I417" s="27"/>
      <c r="J417" s="27"/>
      <c r="K417" s="27"/>
      <c r="L417" s="27"/>
      <c r="M417" s="28"/>
      <c r="N417" s="28"/>
      <c r="O417" s="29"/>
    </row>
    <row r="418">
      <c r="I418" s="27"/>
      <c r="J418" s="27"/>
      <c r="K418" s="27"/>
      <c r="L418" s="27"/>
      <c r="M418" s="28"/>
      <c r="N418" s="28"/>
      <c r="O418" s="29"/>
    </row>
    <row r="419">
      <c r="I419" s="27"/>
      <c r="J419" s="27"/>
      <c r="K419" s="27"/>
      <c r="L419" s="27"/>
      <c r="M419" s="28"/>
      <c r="N419" s="28"/>
      <c r="O419" s="29"/>
    </row>
    <row r="420">
      <c r="I420" s="27"/>
      <c r="J420" s="27"/>
      <c r="K420" s="27"/>
      <c r="L420" s="27"/>
      <c r="M420" s="28"/>
      <c r="N420" s="28"/>
      <c r="O420" s="29"/>
    </row>
    <row r="421">
      <c r="I421" s="27"/>
      <c r="J421" s="27"/>
      <c r="K421" s="27"/>
      <c r="L421" s="27"/>
      <c r="M421" s="28"/>
      <c r="N421" s="28"/>
      <c r="O421" s="29"/>
    </row>
    <row r="422">
      <c r="I422" s="27"/>
      <c r="J422" s="27"/>
      <c r="K422" s="27"/>
      <c r="L422" s="27"/>
      <c r="M422" s="28"/>
      <c r="N422" s="28"/>
      <c r="O422" s="29"/>
    </row>
    <row r="423">
      <c r="I423" s="27"/>
      <c r="J423" s="27"/>
      <c r="K423" s="27"/>
      <c r="L423" s="27"/>
      <c r="M423" s="28"/>
      <c r="N423" s="28"/>
      <c r="O423" s="29"/>
    </row>
    <row r="424">
      <c r="I424" s="27"/>
      <c r="J424" s="27"/>
      <c r="K424" s="27"/>
      <c r="L424" s="27"/>
      <c r="M424" s="28"/>
      <c r="N424" s="28"/>
      <c r="O424" s="29"/>
    </row>
    <row r="425">
      <c r="I425" s="27"/>
      <c r="J425" s="27"/>
      <c r="K425" s="27"/>
      <c r="L425" s="27"/>
      <c r="M425" s="28"/>
      <c r="N425" s="28"/>
      <c r="O425" s="29"/>
    </row>
    <row r="426">
      <c r="I426" s="27"/>
      <c r="J426" s="27"/>
      <c r="K426" s="27"/>
      <c r="L426" s="27"/>
      <c r="M426" s="28"/>
      <c r="N426" s="28"/>
      <c r="O426" s="29"/>
    </row>
    <row r="427">
      <c r="I427" s="27"/>
      <c r="J427" s="27"/>
      <c r="K427" s="27"/>
      <c r="L427" s="27"/>
      <c r="M427" s="28"/>
      <c r="N427" s="28"/>
      <c r="O427" s="29"/>
    </row>
    <row r="428">
      <c r="I428" s="27"/>
      <c r="J428" s="27"/>
      <c r="K428" s="27"/>
      <c r="L428" s="27"/>
      <c r="M428" s="28"/>
      <c r="N428" s="28"/>
      <c r="O428" s="29"/>
    </row>
    <row r="429">
      <c r="I429" s="27"/>
      <c r="J429" s="27"/>
      <c r="K429" s="27"/>
      <c r="L429" s="27"/>
      <c r="M429" s="28"/>
      <c r="N429" s="28"/>
      <c r="O429" s="29"/>
    </row>
    <row r="430">
      <c r="I430" s="27"/>
      <c r="J430" s="27"/>
      <c r="K430" s="27"/>
      <c r="L430" s="27"/>
      <c r="M430" s="28"/>
      <c r="N430" s="28"/>
      <c r="O430" s="29"/>
    </row>
    <row r="431">
      <c r="I431" s="27"/>
      <c r="J431" s="27"/>
      <c r="K431" s="27"/>
      <c r="L431" s="27"/>
      <c r="M431" s="28"/>
      <c r="N431" s="28"/>
      <c r="O431" s="29"/>
    </row>
    <row r="432">
      <c r="I432" s="27"/>
      <c r="J432" s="27"/>
      <c r="K432" s="27"/>
      <c r="L432" s="27"/>
      <c r="M432" s="28"/>
      <c r="N432" s="28"/>
      <c r="O432" s="29"/>
    </row>
    <row r="433">
      <c r="I433" s="27"/>
      <c r="J433" s="27"/>
      <c r="K433" s="27"/>
      <c r="L433" s="27"/>
      <c r="M433" s="28"/>
      <c r="N433" s="28"/>
      <c r="O433" s="29"/>
    </row>
    <row r="434">
      <c r="I434" s="27"/>
      <c r="J434" s="27"/>
      <c r="K434" s="27"/>
      <c r="L434" s="27"/>
      <c r="M434" s="28"/>
      <c r="N434" s="28"/>
      <c r="O434" s="29"/>
    </row>
    <row r="435">
      <c r="I435" s="27"/>
      <c r="J435" s="27"/>
      <c r="K435" s="27"/>
      <c r="L435" s="27"/>
      <c r="M435" s="28"/>
      <c r="N435" s="28"/>
      <c r="O435" s="29"/>
    </row>
    <row r="436">
      <c r="I436" s="27"/>
      <c r="J436" s="27"/>
      <c r="K436" s="27"/>
      <c r="L436" s="27"/>
      <c r="M436" s="28"/>
      <c r="N436" s="28"/>
      <c r="O436" s="29"/>
    </row>
    <row r="437">
      <c r="I437" s="27"/>
      <c r="J437" s="27"/>
      <c r="K437" s="27"/>
      <c r="L437" s="27"/>
      <c r="M437" s="28"/>
      <c r="N437" s="28"/>
      <c r="O437" s="29"/>
    </row>
    <row r="438">
      <c r="I438" s="27"/>
      <c r="J438" s="27"/>
      <c r="K438" s="27"/>
      <c r="L438" s="27"/>
      <c r="M438" s="28"/>
      <c r="N438" s="28"/>
      <c r="O438" s="29"/>
    </row>
    <row r="439">
      <c r="I439" s="27"/>
      <c r="J439" s="27"/>
      <c r="K439" s="27"/>
      <c r="L439" s="27"/>
      <c r="M439" s="28"/>
      <c r="N439" s="28"/>
      <c r="O439" s="29"/>
    </row>
    <row r="440">
      <c r="I440" s="27"/>
      <c r="J440" s="27"/>
      <c r="K440" s="27"/>
      <c r="L440" s="27"/>
      <c r="M440" s="28"/>
      <c r="N440" s="28"/>
      <c r="O440" s="29"/>
    </row>
    <row r="441">
      <c r="I441" s="27"/>
      <c r="J441" s="27"/>
      <c r="K441" s="27"/>
      <c r="L441" s="27"/>
      <c r="M441" s="28"/>
      <c r="N441" s="28"/>
      <c r="O441" s="29"/>
    </row>
    <row r="442">
      <c r="I442" s="27"/>
      <c r="J442" s="27"/>
      <c r="K442" s="27"/>
      <c r="L442" s="27"/>
      <c r="M442" s="28"/>
      <c r="N442" s="28"/>
      <c r="O442" s="29"/>
    </row>
    <row r="443">
      <c r="I443" s="27"/>
      <c r="J443" s="27"/>
      <c r="K443" s="27"/>
      <c r="L443" s="27"/>
      <c r="M443" s="28"/>
      <c r="N443" s="28"/>
      <c r="O443" s="29"/>
    </row>
    <row r="444">
      <c r="I444" s="27"/>
      <c r="J444" s="27"/>
      <c r="K444" s="27"/>
      <c r="L444" s="27"/>
      <c r="M444" s="28"/>
      <c r="N444" s="28"/>
      <c r="O444" s="29"/>
    </row>
    <row r="445">
      <c r="I445" s="27"/>
      <c r="J445" s="27"/>
      <c r="K445" s="27"/>
      <c r="L445" s="27"/>
      <c r="M445" s="28"/>
      <c r="N445" s="28"/>
      <c r="O445" s="29"/>
    </row>
    <row r="446">
      <c r="I446" s="27"/>
      <c r="J446" s="27"/>
      <c r="K446" s="27"/>
      <c r="L446" s="27"/>
      <c r="M446" s="28"/>
      <c r="N446" s="28"/>
      <c r="O446" s="29"/>
    </row>
    <row r="447">
      <c r="I447" s="27"/>
      <c r="J447" s="27"/>
      <c r="K447" s="27"/>
      <c r="L447" s="27"/>
      <c r="M447" s="28"/>
      <c r="N447" s="28"/>
      <c r="O447" s="29"/>
    </row>
    <row r="448">
      <c r="I448" s="27"/>
      <c r="J448" s="27"/>
      <c r="K448" s="27"/>
      <c r="L448" s="27"/>
      <c r="M448" s="28"/>
      <c r="N448" s="28"/>
      <c r="O448" s="29"/>
    </row>
    <row r="449">
      <c r="I449" s="27"/>
      <c r="J449" s="27"/>
      <c r="K449" s="27"/>
      <c r="L449" s="27"/>
      <c r="M449" s="28"/>
      <c r="N449" s="28"/>
      <c r="O449" s="29"/>
    </row>
    <row r="450">
      <c r="I450" s="27"/>
      <c r="J450" s="27"/>
      <c r="K450" s="27"/>
      <c r="L450" s="27"/>
      <c r="M450" s="28"/>
      <c r="N450" s="28"/>
      <c r="O450" s="29"/>
    </row>
    <row r="451">
      <c r="I451" s="27"/>
      <c r="J451" s="27"/>
      <c r="K451" s="27"/>
      <c r="L451" s="27"/>
      <c r="M451" s="28"/>
      <c r="N451" s="28"/>
      <c r="O451" s="29"/>
    </row>
    <row r="452">
      <c r="I452" s="27"/>
      <c r="J452" s="27"/>
      <c r="K452" s="27"/>
      <c r="L452" s="27"/>
      <c r="M452" s="28"/>
      <c r="N452" s="28"/>
      <c r="O452" s="29"/>
    </row>
    <row r="453">
      <c r="I453" s="27"/>
      <c r="J453" s="27"/>
      <c r="K453" s="27"/>
      <c r="L453" s="27"/>
      <c r="M453" s="28"/>
      <c r="N453" s="28"/>
      <c r="O453" s="29"/>
    </row>
    <row r="454">
      <c r="I454" s="27"/>
      <c r="J454" s="27"/>
      <c r="K454" s="27"/>
      <c r="L454" s="27"/>
      <c r="M454" s="28"/>
      <c r="N454" s="28"/>
      <c r="O454" s="29"/>
    </row>
    <row r="455">
      <c r="I455" s="27"/>
      <c r="J455" s="27"/>
      <c r="K455" s="27"/>
      <c r="L455" s="27"/>
      <c r="M455" s="28"/>
      <c r="N455" s="28"/>
      <c r="O455" s="29"/>
    </row>
    <row r="456">
      <c r="I456" s="27"/>
      <c r="J456" s="27"/>
      <c r="K456" s="27"/>
      <c r="L456" s="27"/>
      <c r="M456" s="28"/>
      <c r="N456" s="28"/>
      <c r="O456" s="29"/>
    </row>
    <row r="457">
      <c r="I457" s="27"/>
      <c r="J457" s="27"/>
      <c r="K457" s="27"/>
      <c r="L457" s="27"/>
      <c r="M457" s="28"/>
      <c r="N457" s="28"/>
      <c r="O457" s="29"/>
    </row>
    <row r="458">
      <c r="I458" s="27"/>
      <c r="J458" s="27"/>
      <c r="K458" s="27"/>
      <c r="L458" s="27"/>
      <c r="M458" s="28"/>
      <c r="N458" s="28"/>
      <c r="O458" s="29"/>
    </row>
    <row r="459">
      <c r="I459" s="27"/>
      <c r="J459" s="27"/>
      <c r="K459" s="27"/>
      <c r="L459" s="27"/>
      <c r="M459" s="28"/>
      <c r="N459" s="28"/>
      <c r="O459" s="29"/>
    </row>
    <row r="460">
      <c r="I460" s="27"/>
      <c r="J460" s="27"/>
      <c r="K460" s="27"/>
      <c r="L460" s="27"/>
      <c r="M460" s="28"/>
      <c r="N460" s="28"/>
      <c r="O460" s="29"/>
    </row>
    <row r="461">
      <c r="I461" s="27"/>
      <c r="J461" s="27"/>
      <c r="K461" s="27"/>
      <c r="L461" s="27"/>
      <c r="M461" s="28"/>
      <c r="N461" s="28"/>
      <c r="O461" s="29"/>
    </row>
    <row r="462">
      <c r="I462" s="27"/>
      <c r="J462" s="27"/>
      <c r="K462" s="27"/>
      <c r="L462" s="27"/>
      <c r="M462" s="28"/>
      <c r="N462" s="28"/>
      <c r="O462" s="29"/>
    </row>
    <row r="463">
      <c r="I463" s="27"/>
      <c r="J463" s="27"/>
      <c r="K463" s="27"/>
      <c r="L463" s="27"/>
      <c r="M463" s="28"/>
      <c r="N463" s="28"/>
      <c r="O463" s="29"/>
    </row>
    <row r="464">
      <c r="I464" s="27"/>
      <c r="J464" s="27"/>
      <c r="K464" s="27"/>
      <c r="L464" s="27"/>
      <c r="M464" s="28"/>
      <c r="N464" s="28"/>
      <c r="O464" s="29"/>
    </row>
    <row r="465">
      <c r="I465" s="27"/>
      <c r="J465" s="27"/>
      <c r="K465" s="27"/>
      <c r="L465" s="27"/>
      <c r="M465" s="28"/>
      <c r="N465" s="28"/>
      <c r="O465" s="29"/>
    </row>
    <row r="466">
      <c r="I466" s="27"/>
      <c r="J466" s="27"/>
      <c r="K466" s="27"/>
      <c r="L466" s="27"/>
      <c r="M466" s="28"/>
      <c r="N466" s="28"/>
      <c r="O466" s="29"/>
    </row>
    <row r="467">
      <c r="I467" s="27"/>
      <c r="J467" s="27"/>
      <c r="K467" s="27"/>
      <c r="L467" s="27"/>
      <c r="M467" s="28"/>
      <c r="N467" s="28"/>
      <c r="O467" s="29"/>
    </row>
    <row r="468">
      <c r="I468" s="27"/>
      <c r="J468" s="27"/>
      <c r="K468" s="27"/>
      <c r="L468" s="27"/>
      <c r="M468" s="28"/>
      <c r="N468" s="28"/>
      <c r="O468" s="29"/>
    </row>
    <row r="469">
      <c r="I469" s="27"/>
      <c r="J469" s="27"/>
      <c r="K469" s="27"/>
      <c r="L469" s="27"/>
      <c r="M469" s="28"/>
      <c r="N469" s="28"/>
      <c r="O469" s="29"/>
    </row>
    <row r="470">
      <c r="I470" s="27"/>
      <c r="J470" s="27"/>
      <c r="K470" s="27"/>
      <c r="L470" s="27"/>
      <c r="M470" s="28"/>
      <c r="N470" s="28"/>
      <c r="O470" s="29"/>
    </row>
    <row r="471">
      <c r="I471" s="27"/>
      <c r="J471" s="27"/>
      <c r="K471" s="27"/>
      <c r="L471" s="27"/>
      <c r="M471" s="28"/>
      <c r="N471" s="28"/>
      <c r="O471" s="29"/>
    </row>
    <row r="472">
      <c r="I472" s="27"/>
      <c r="J472" s="27"/>
      <c r="K472" s="27"/>
      <c r="L472" s="27"/>
      <c r="M472" s="28"/>
      <c r="N472" s="28"/>
      <c r="O472" s="29"/>
    </row>
    <row r="473">
      <c r="I473" s="27"/>
      <c r="J473" s="27"/>
      <c r="K473" s="27"/>
      <c r="L473" s="27"/>
      <c r="M473" s="28"/>
      <c r="N473" s="28"/>
      <c r="O473" s="29"/>
    </row>
    <row r="474">
      <c r="I474" s="27"/>
      <c r="J474" s="27"/>
      <c r="K474" s="27"/>
      <c r="L474" s="27"/>
      <c r="M474" s="28"/>
      <c r="N474" s="28"/>
      <c r="O474" s="29"/>
    </row>
    <row r="475">
      <c r="I475" s="27"/>
      <c r="J475" s="27"/>
      <c r="K475" s="27"/>
      <c r="L475" s="27"/>
      <c r="M475" s="28"/>
      <c r="N475" s="28"/>
      <c r="O475" s="29"/>
    </row>
    <row r="476">
      <c r="I476" s="27"/>
      <c r="J476" s="27"/>
      <c r="K476" s="27"/>
      <c r="L476" s="27"/>
      <c r="M476" s="28"/>
      <c r="N476" s="28"/>
      <c r="O476" s="29"/>
    </row>
    <row r="477">
      <c r="I477" s="27"/>
      <c r="J477" s="27"/>
      <c r="K477" s="27"/>
      <c r="L477" s="27"/>
      <c r="M477" s="28"/>
      <c r="N477" s="28"/>
      <c r="O477" s="29"/>
    </row>
    <row r="478">
      <c r="I478" s="27"/>
      <c r="J478" s="27"/>
      <c r="K478" s="27"/>
      <c r="L478" s="27"/>
      <c r="M478" s="28"/>
      <c r="N478" s="28"/>
      <c r="O478" s="29"/>
    </row>
    <row r="479">
      <c r="I479" s="27"/>
      <c r="J479" s="27"/>
      <c r="K479" s="27"/>
      <c r="L479" s="27"/>
      <c r="M479" s="28"/>
      <c r="N479" s="28"/>
      <c r="O479" s="29"/>
    </row>
    <row r="480">
      <c r="I480" s="27"/>
      <c r="J480" s="27"/>
      <c r="K480" s="27"/>
      <c r="L480" s="27"/>
      <c r="M480" s="28"/>
      <c r="N480" s="28"/>
      <c r="O480" s="29"/>
    </row>
    <row r="481">
      <c r="I481" s="27"/>
      <c r="J481" s="27"/>
      <c r="K481" s="27"/>
      <c r="L481" s="27"/>
      <c r="M481" s="28"/>
      <c r="N481" s="28"/>
      <c r="O481" s="29"/>
    </row>
    <row r="482">
      <c r="I482" s="27"/>
      <c r="J482" s="27"/>
      <c r="K482" s="27"/>
      <c r="L482" s="27"/>
      <c r="M482" s="28"/>
      <c r="N482" s="28"/>
      <c r="O482" s="29"/>
    </row>
    <row r="483">
      <c r="I483" s="27"/>
      <c r="J483" s="27"/>
      <c r="K483" s="27"/>
      <c r="L483" s="27"/>
      <c r="M483" s="28"/>
      <c r="N483" s="28"/>
      <c r="O483" s="29"/>
    </row>
    <row r="484">
      <c r="I484" s="27"/>
      <c r="J484" s="27"/>
      <c r="K484" s="27"/>
      <c r="L484" s="27"/>
      <c r="M484" s="28"/>
      <c r="N484" s="28"/>
      <c r="O484" s="29"/>
    </row>
    <row r="485">
      <c r="I485" s="27"/>
      <c r="J485" s="27"/>
      <c r="K485" s="27"/>
      <c r="L485" s="27"/>
      <c r="M485" s="28"/>
      <c r="N485" s="28"/>
      <c r="O485" s="29"/>
    </row>
    <row r="486">
      <c r="I486" s="27"/>
      <c r="J486" s="27"/>
      <c r="K486" s="27"/>
      <c r="L486" s="27"/>
      <c r="M486" s="28"/>
      <c r="N486" s="28"/>
      <c r="O486" s="29"/>
    </row>
    <row r="487">
      <c r="I487" s="27"/>
      <c r="J487" s="27"/>
      <c r="K487" s="27"/>
      <c r="L487" s="27"/>
      <c r="M487" s="28"/>
      <c r="N487" s="28"/>
      <c r="O487" s="29"/>
    </row>
    <row r="488">
      <c r="I488" s="27"/>
      <c r="J488" s="27"/>
      <c r="K488" s="27"/>
      <c r="L488" s="27"/>
      <c r="M488" s="28"/>
      <c r="N488" s="28"/>
      <c r="O488" s="29"/>
    </row>
    <row r="489">
      <c r="I489" s="27"/>
      <c r="J489" s="27"/>
      <c r="K489" s="27"/>
      <c r="L489" s="27"/>
      <c r="M489" s="28"/>
      <c r="N489" s="28"/>
      <c r="O489" s="29"/>
    </row>
    <row r="490">
      <c r="I490" s="27"/>
      <c r="J490" s="27"/>
      <c r="K490" s="27"/>
      <c r="L490" s="27"/>
      <c r="M490" s="28"/>
      <c r="N490" s="28"/>
      <c r="O490" s="29"/>
    </row>
    <row r="491">
      <c r="I491" s="27"/>
      <c r="J491" s="27"/>
      <c r="K491" s="27"/>
      <c r="L491" s="27"/>
      <c r="M491" s="28"/>
      <c r="N491" s="28"/>
      <c r="O491" s="29"/>
    </row>
    <row r="492">
      <c r="I492" s="27"/>
      <c r="J492" s="27"/>
      <c r="K492" s="27"/>
      <c r="L492" s="27"/>
      <c r="M492" s="28"/>
      <c r="N492" s="28"/>
      <c r="O492" s="29"/>
    </row>
    <row r="493">
      <c r="I493" s="27"/>
      <c r="J493" s="27"/>
      <c r="K493" s="27"/>
      <c r="L493" s="27"/>
      <c r="M493" s="28"/>
      <c r="N493" s="28"/>
      <c r="O493" s="29"/>
    </row>
    <row r="494">
      <c r="I494" s="27"/>
      <c r="J494" s="27"/>
      <c r="K494" s="27"/>
      <c r="L494" s="27"/>
      <c r="M494" s="28"/>
      <c r="N494" s="28"/>
      <c r="O494" s="29"/>
    </row>
    <row r="495">
      <c r="I495" s="27"/>
      <c r="J495" s="27"/>
      <c r="K495" s="27"/>
      <c r="L495" s="27"/>
      <c r="M495" s="28"/>
      <c r="N495" s="28"/>
      <c r="O495" s="29"/>
    </row>
    <row r="496">
      <c r="I496" s="27"/>
      <c r="J496" s="27"/>
      <c r="K496" s="27"/>
      <c r="L496" s="27"/>
      <c r="M496" s="28"/>
      <c r="N496" s="28"/>
      <c r="O496" s="29"/>
    </row>
    <row r="497">
      <c r="I497" s="27"/>
      <c r="J497" s="27"/>
      <c r="K497" s="27"/>
      <c r="L497" s="27"/>
      <c r="M497" s="28"/>
      <c r="N497" s="28"/>
      <c r="O497" s="29"/>
    </row>
    <row r="498">
      <c r="I498" s="27"/>
      <c r="J498" s="27"/>
      <c r="K498" s="27"/>
      <c r="L498" s="27"/>
      <c r="M498" s="28"/>
      <c r="N498" s="28"/>
      <c r="O498" s="29"/>
    </row>
    <row r="499">
      <c r="I499" s="27"/>
      <c r="J499" s="27"/>
      <c r="K499" s="27"/>
      <c r="L499" s="27"/>
      <c r="M499" s="28"/>
      <c r="N499" s="28"/>
      <c r="O499" s="29"/>
    </row>
    <row r="500">
      <c r="I500" s="27"/>
      <c r="J500" s="27"/>
      <c r="K500" s="27"/>
      <c r="L500" s="27"/>
      <c r="M500" s="28"/>
      <c r="N500" s="28"/>
      <c r="O500" s="29"/>
    </row>
    <row r="501">
      <c r="I501" s="27"/>
      <c r="J501" s="27"/>
      <c r="K501" s="27"/>
      <c r="L501" s="27"/>
      <c r="M501" s="28"/>
      <c r="N501" s="28"/>
      <c r="O501" s="29"/>
    </row>
    <row r="502">
      <c r="I502" s="27"/>
      <c r="J502" s="27"/>
      <c r="K502" s="27"/>
      <c r="L502" s="27"/>
      <c r="M502" s="28"/>
      <c r="N502" s="28"/>
      <c r="O502" s="29"/>
    </row>
    <row r="503">
      <c r="I503" s="27"/>
      <c r="J503" s="27"/>
      <c r="K503" s="27"/>
      <c r="L503" s="27"/>
      <c r="M503" s="28"/>
      <c r="N503" s="28"/>
      <c r="O503" s="29"/>
    </row>
    <row r="504">
      <c r="I504" s="27"/>
      <c r="J504" s="27"/>
      <c r="K504" s="27"/>
      <c r="L504" s="27"/>
      <c r="M504" s="28"/>
      <c r="N504" s="28"/>
      <c r="O504" s="29"/>
    </row>
    <row r="505">
      <c r="I505" s="27"/>
      <c r="J505" s="27"/>
      <c r="K505" s="27"/>
      <c r="L505" s="27"/>
      <c r="M505" s="28"/>
      <c r="N505" s="28"/>
      <c r="O505" s="29"/>
    </row>
    <row r="506">
      <c r="I506" s="27"/>
      <c r="J506" s="27"/>
      <c r="K506" s="27"/>
      <c r="L506" s="27"/>
      <c r="M506" s="28"/>
      <c r="N506" s="28"/>
      <c r="O506" s="29"/>
    </row>
    <row r="507">
      <c r="I507" s="27"/>
      <c r="J507" s="27"/>
      <c r="K507" s="27"/>
      <c r="L507" s="27"/>
      <c r="M507" s="28"/>
      <c r="N507" s="28"/>
      <c r="O507" s="29"/>
    </row>
    <row r="508">
      <c r="I508" s="27"/>
      <c r="J508" s="27"/>
      <c r="K508" s="27"/>
      <c r="L508" s="27"/>
      <c r="M508" s="28"/>
      <c r="N508" s="28"/>
      <c r="O508" s="29"/>
    </row>
    <row r="509">
      <c r="I509" s="27"/>
      <c r="J509" s="27"/>
      <c r="K509" s="27"/>
      <c r="L509" s="27"/>
      <c r="M509" s="28"/>
      <c r="N509" s="28"/>
      <c r="O509" s="29"/>
    </row>
    <row r="510">
      <c r="I510" s="27"/>
      <c r="J510" s="27"/>
      <c r="K510" s="27"/>
      <c r="L510" s="27"/>
      <c r="M510" s="28"/>
      <c r="N510" s="28"/>
      <c r="O510" s="29"/>
    </row>
    <row r="511">
      <c r="I511" s="27"/>
      <c r="J511" s="27"/>
      <c r="K511" s="27"/>
      <c r="L511" s="27"/>
      <c r="M511" s="28"/>
      <c r="N511" s="28"/>
      <c r="O511" s="29"/>
    </row>
    <row r="512">
      <c r="I512" s="27"/>
      <c r="J512" s="27"/>
      <c r="K512" s="27"/>
      <c r="L512" s="27"/>
      <c r="M512" s="28"/>
      <c r="N512" s="28"/>
      <c r="O512" s="29"/>
    </row>
    <row r="513">
      <c r="I513" s="27"/>
      <c r="J513" s="27"/>
      <c r="K513" s="27"/>
      <c r="L513" s="27"/>
      <c r="M513" s="28"/>
      <c r="N513" s="28"/>
      <c r="O513" s="29"/>
    </row>
    <row r="514">
      <c r="I514" s="27"/>
      <c r="J514" s="27"/>
      <c r="K514" s="27"/>
      <c r="L514" s="27"/>
      <c r="M514" s="28"/>
      <c r="N514" s="28"/>
      <c r="O514" s="29"/>
    </row>
    <row r="515">
      <c r="I515" s="27"/>
      <c r="J515" s="27"/>
      <c r="K515" s="27"/>
      <c r="L515" s="27"/>
      <c r="M515" s="28"/>
      <c r="N515" s="28"/>
      <c r="O515" s="29"/>
    </row>
    <row r="516">
      <c r="I516" s="27"/>
      <c r="J516" s="27"/>
      <c r="K516" s="27"/>
      <c r="L516" s="27"/>
      <c r="M516" s="28"/>
      <c r="N516" s="28"/>
      <c r="O516" s="29"/>
    </row>
    <row r="517">
      <c r="I517" s="27"/>
      <c r="J517" s="27"/>
      <c r="K517" s="27"/>
      <c r="L517" s="27"/>
      <c r="M517" s="28"/>
      <c r="N517" s="28"/>
      <c r="O517" s="29"/>
    </row>
    <row r="518">
      <c r="I518" s="27"/>
      <c r="J518" s="27"/>
      <c r="K518" s="27"/>
      <c r="L518" s="27"/>
      <c r="M518" s="28"/>
      <c r="N518" s="28"/>
      <c r="O518" s="29"/>
    </row>
    <row r="519">
      <c r="I519" s="27"/>
      <c r="J519" s="27"/>
      <c r="K519" s="27"/>
      <c r="L519" s="27"/>
      <c r="M519" s="28"/>
      <c r="N519" s="28"/>
      <c r="O519" s="29"/>
    </row>
    <row r="520">
      <c r="I520" s="27"/>
      <c r="J520" s="27"/>
      <c r="K520" s="27"/>
      <c r="L520" s="27"/>
      <c r="M520" s="28"/>
      <c r="N520" s="28"/>
      <c r="O520" s="29"/>
    </row>
    <row r="521">
      <c r="I521" s="27"/>
      <c r="J521" s="27"/>
      <c r="K521" s="27"/>
      <c r="L521" s="27"/>
      <c r="M521" s="28"/>
      <c r="N521" s="28"/>
      <c r="O521" s="29"/>
    </row>
    <row r="522">
      <c r="I522" s="27"/>
      <c r="J522" s="27"/>
      <c r="K522" s="27"/>
      <c r="L522" s="27"/>
      <c r="M522" s="28"/>
      <c r="N522" s="28"/>
      <c r="O522" s="29"/>
    </row>
    <row r="523">
      <c r="I523" s="27"/>
      <c r="J523" s="27"/>
      <c r="K523" s="27"/>
      <c r="L523" s="27"/>
      <c r="M523" s="28"/>
      <c r="N523" s="28"/>
      <c r="O523" s="29"/>
    </row>
    <row r="524">
      <c r="I524" s="27"/>
      <c r="J524" s="27"/>
      <c r="K524" s="27"/>
      <c r="L524" s="27"/>
      <c r="M524" s="28"/>
      <c r="N524" s="28"/>
      <c r="O524" s="29"/>
    </row>
    <row r="525">
      <c r="I525" s="27"/>
      <c r="J525" s="27"/>
      <c r="K525" s="27"/>
      <c r="L525" s="27"/>
      <c r="M525" s="28"/>
      <c r="N525" s="28"/>
      <c r="O525" s="29"/>
    </row>
    <row r="526">
      <c r="I526" s="27"/>
      <c r="J526" s="27"/>
      <c r="K526" s="27"/>
      <c r="L526" s="27"/>
      <c r="M526" s="28"/>
      <c r="N526" s="28"/>
      <c r="O526" s="29"/>
    </row>
    <row r="527">
      <c r="I527" s="27"/>
      <c r="J527" s="27"/>
      <c r="K527" s="27"/>
      <c r="L527" s="27"/>
      <c r="M527" s="28"/>
      <c r="N527" s="28"/>
      <c r="O527" s="29"/>
    </row>
    <row r="528">
      <c r="I528" s="27"/>
      <c r="J528" s="27"/>
      <c r="K528" s="27"/>
      <c r="L528" s="27"/>
      <c r="M528" s="28"/>
      <c r="N528" s="28"/>
      <c r="O528" s="29"/>
    </row>
    <row r="529">
      <c r="I529" s="27"/>
      <c r="J529" s="27"/>
      <c r="K529" s="27"/>
      <c r="L529" s="27"/>
      <c r="M529" s="28"/>
      <c r="N529" s="28"/>
      <c r="O529" s="29"/>
    </row>
    <row r="530">
      <c r="I530" s="27"/>
      <c r="J530" s="27"/>
      <c r="K530" s="27"/>
      <c r="L530" s="27"/>
      <c r="M530" s="28"/>
      <c r="N530" s="28"/>
      <c r="O530" s="29"/>
    </row>
    <row r="531">
      <c r="I531" s="27"/>
      <c r="J531" s="27"/>
      <c r="K531" s="27"/>
      <c r="L531" s="27"/>
      <c r="M531" s="28"/>
      <c r="N531" s="28"/>
      <c r="O531" s="29"/>
    </row>
    <row r="532">
      <c r="I532" s="27"/>
      <c r="J532" s="27"/>
      <c r="K532" s="27"/>
      <c r="L532" s="27"/>
      <c r="M532" s="28"/>
      <c r="N532" s="28"/>
      <c r="O532" s="29"/>
    </row>
    <row r="533">
      <c r="I533" s="27"/>
      <c r="J533" s="27"/>
      <c r="K533" s="27"/>
      <c r="L533" s="27"/>
      <c r="M533" s="28"/>
      <c r="N533" s="28"/>
      <c r="O533" s="29"/>
    </row>
    <row r="534">
      <c r="I534" s="27"/>
      <c r="J534" s="27"/>
      <c r="K534" s="27"/>
      <c r="L534" s="27"/>
      <c r="M534" s="28"/>
      <c r="N534" s="28"/>
      <c r="O534" s="29"/>
    </row>
    <row r="535">
      <c r="I535" s="27"/>
      <c r="J535" s="27"/>
      <c r="K535" s="27"/>
      <c r="L535" s="27"/>
      <c r="M535" s="28"/>
      <c r="N535" s="28"/>
      <c r="O535" s="29"/>
    </row>
    <row r="536">
      <c r="I536" s="27"/>
      <c r="J536" s="27"/>
      <c r="K536" s="27"/>
      <c r="L536" s="27"/>
      <c r="M536" s="28"/>
      <c r="N536" s="28"/>
      <c r="O536" s="29"/>
    </row>
    <row r="537">
      <c r="I537" s="27"/>
      <c r="J537" s="27"/>
      <c r="K537" s="27"/>
      <c r="L537" s="27"/>
      <c r="M537" s="28"/>
      <c r="N537" s="28"/>
      <c r="O537" s="29"/>
    </row>
    <row r="538">
      <c r="I538" s="27"/>
      <c r="J538" s="27"/>
      <c r="K538" s="27"/>
      <c r="L538" s="27"/>
      <c r="M538" s="28"/>
      <c r="N538" s="28"/>
      <c r="O538" s="29"/>
    </row>
    <row r="539">
      <c r="I539" s="27"/>
      <c r="J539" s="27"/>
      <c r="K539" s="27"/>
      <c r="L539" s="27"/>
      <c r="M539" s="28"/>
      <c r="N539" s="28"/>
      <c r="O539" s="29"/>
    </row>
    <row r="540">
      <c r="I540" s="27"/>
      <c r="J540" s="27"/>
      <c r="K540" s="27"/>
      <c r="L540" s="27"/>
      <c r="M540" s="28"/>
      <c r="N540" s="28"/>
      <c r="O540" s="29"/>
    </row>
    <row r="541">
      <c r="I541" s="27"/>
      <c r="J541" s="27"/>
      <c r="K541" s="27"/>
      <c r="L541" s="27"/>
      <c r="M541" s="28"/>
      <c r="N541" s="28"/>
      <c r="O541" s="29"/>
    </row>
    <row r="542">
      <c r="I542" s="27"/>
      <c r="J542" s="27"/>
      <c r="K542" s="27"/>
      <c r="L542" s="27"/>
      <c r="M542" s="28"/>
      <c r="N542" s="28"/>
      <c r="O542" s="29"/>
    </row>
    <row r="543">
      <c r="I543" s="27"/>
      <c r="J543" s="27"/>
      <c r="K543" s="27"/>
      <c r="L543" s="27"/>
      <c r="M543" s="28"/>
      <c r="N543" s="28"/>
      <c r="O543" s="29"/>
    </row>
    <row r="544">
      <c r="I544" s="27"/>
      <c r="J544" s="27"/>
      <c r="K544" s="27"/>
      <c r="L544" s="27"/>
      <c r="M544" s="28"/>
      <c r="N544" s="28"/>
      <c r="O544" s="29"/>
    </row>
    <row r="545">
      <c r="I545" s="27"/>
      <c r="J545" s="27"/>
      <c r="K545" s="27"/>
      <c r="L545" s="27"/>
      <c r="M545" s="28"/>
      <c r="N545" s="28"/>
      <c r="O545" s="29"/>
    </row>
    <row r="546">
      <c r="I546" s="27"/>
      <c r="J546" s="27"/>
      <c r="K546" s="27"/>
      <c r="L546" s="27"/>
      <c r="M546" s="28"/>
      <c r="N546" s="28"/>
      <c r="O546" s="29"/>
    </row>
    <row r="547">
      <c r="I547" s="27"/>
      <c r="J547" s="27"/>
      <c r="K547" s="27"/>
      <c r="L547" s="27"/>
      <c r="M547" s="28"/>
      <c r="N547" s="28"/>
      <c r="O547" s="29"/>
    </row>
    <row r="548">
      <c r="I548" s="27"/>
      <c r="J548" s="27"/>
      <c r="K548" s="27"/>
      <c r="L548" s="27"/>
      <c r="M548" s="28"/>
      <c r="N548" s="28"/>
      <c r="O548" s="29"/>
    </row>
    <row r="549">
      <c r="I549" s="27"/>
      <c r="J549" s="27"/>
      <c r="K549" s="27"/>
      <c r="L549" s="27"/>
      <c r="M549" s="28"/>
      <c r="N549" s="28"/>
      <c r="O549" s="29"/>
    </row>
    <row r="550">
      <c r="I550" s="27"/>
      <c r="J550" s="27"/>
      <c r="K550" s="27"/>
      <c r="L550" s="27"/>
      <c r="M550" s="28"/>
      <c r="N550" s="28"/>
      <c r="O550" s="29"/>
    </row>
    <row r="551">
      <c r="I551" s="27"/>
      <c r="J551" s="27"/>
      <c r="K551" s="27"/>
      <c r="L551" s="27"/>
      <c r="M551" s="28"/>
      <c r="N551" s="28"/>
      <c r="O551" s="29"/>
    </row>
    <row r="552">
      <c r="I552" s="27"/>
      <c r="J552" s="27"/>
      <c r="K552" s="27"/>
      <c r="L552" s="27"/>
      <c r="M552" s="28"/>
      <c r="N552" s="28"/>
      <c r="O552" s="29"/>
    </row>
    <row r="553">
      <c r="I553" s="27"/>
      <c r="J553" s="27"/>
      <c r="K553" s="27"/>
      <c r="L553" s="27"/>
      <c r="M553" s="28"/>
      <c r="N553" s="28"/>
      <c r="O553" s="29"/>
    </row>
    <row r="554">
      <c r="I554" s="27"/>
      <c r="J554" s="27"/>
      <c r="K554" s="27"/>
      <c r="L554" s="27"/>
      <c r="M554" s="28"/>
      <c r="N554" s="28"/>
      <c r="O554" s="29"/>
    </row>
    <row r="555">
      <c r="I555" s="27"/>
      <c r="J555" s="27"/>
      <c r="K555" s="27"/>
      <c r="L555" s="27"/>
      <c r="M555" s="28"/>
      <c r="N555" s="28"/>
      <c r="O555" s="29"/>
    </row>
    <row r="556">
      <c r="I556" s="27"/>
      <c r="J556" s="27"/>
      <c r="K556" s="27"/>
      <c r="L556" s="27"/>
      <c r="M556" s="28"/>
      <c r="N556" s="28"/>
      <c r="O556" s="29"/>
    </row>
    <row r="557">
      <c r="I557" s="27"/>
      <c r="J557" s="27"/>
      <c r="K557" s="27"/>
      <c r="L557" s="27"/>
      <c r="M557" s="28"/>
      <c r="N557" s="28"/>
      <c r="O557" s="29"/>
    </row>
    <row r="558">
      <c r="I558" s="27"/>
      <c r="J558" s="27"/>
      <c r="K558" s="27"/>
      <c r="L558" s="27"/>
      <c r="M558" s="28"/>
      <c r="N558" s="28"/>
      <c r="O558" s="29"/>
    </row>
    <row r="559">
      <c r="I559" s="27"/>
      <c r="J559" s="27"/>
      <c r="K559" s="27"/>
      <c r="L559" s="27"/>
      <c r="M559" s="28"/>
      <c r="N559" s="28"/>
      <c r="O559" s="29"/>
    </row>
    <row r="560">
      <c r="I560" s="27"/>
      <c r="J560" s="27"/>
      <c r="K560" s="27"/>
      <c r="L560" s="27"/>
      <c r="M560" s="28"/>
      <c r="N560" s="28"/>
      <c r="O560" s="29"/>
    </row>
    <row r="561">
      <c r="I561" s="27"/>
      <c r="J561" s="27"/>
      <c r="K561" s="27"/>
      <c r="L561" s="27"/>
      <c r="M561" s="28"/>
      <c r="N561" s="28"/>
      <c r="O561" s="29"/>
    </row>
    <row r="562">
      <c r="I562" s="27"/>
      <c r="J562" s="27"/>
      <c r="K562" s="27"/>
      <c r="L562" s="27"/>
      <c r="M562" s="28"/>
      <c r="N562" s="28"/>
      <c r="O562" s="29"/>
    </row>
    <row r="563">
      <c r="I563" s="27"/>
      <c r="J563" s="27"/>
      <c r="K563" s="27"/>
      <c r="L563" s="27"/>
      <c r="M563" s="28"/>
      <c r="N563" s="28"/>
      <c r="O563" s="29"/>
    </row>
    <row r="564">
      <c r="I564" s="27"/>
      <c r="J564" s="27"/>
      <c r="K564" s="27"/>
      <c r="L564" s="27"/>
      <c r="M564" s="28"/>
      <c r="N564" s="28"/>
      <c r="O564" s="29"/>
    </row>
    <row r="565">
      <c r="I565" s="27"/>
      <c r="J565" s="27"/>
      <c r="K565" s="27"/>
      <c r="L565" s="27"/>
      <c r="M565" s="28"/>
      <c r="N565" s="28"/>
      <c r="O565" s="29"/>
    </row>
    <row r="566">
      <c r="I566" s="27"/>
      <c r="J566" s="27"/>
      <c r="K566" s="27"/>
      <c r="L566" s="27"/>
      <c r="M566" s="28"/>
      <c r="N566" s="28"/>
      <c r="O566" s="29"/>
    </row>
    <row r="567">
      <c r="I567" s="27"/>
      <c r="J567" s="27"/>
      <c r="K567" s="27"/>
      <c r="L567" s="27"/>
      <c r="M567" s="28"/>
      <c r="N567" s="28"/>
      <c r="O567" s="29"/>
    </row>
    <row r="568">
      <c r="I568" s="27"/>
      <c r="J568" s="27"/>
      <c r="K568" s="27"/>
      <c r="L568" s="27"/>
      <c r="M568" s="28"/>
      <c r="N568" s="28"/>
      <c r="O568" s="29"/>
    </row>
    <row r="569">
      <c r="I569" s="27"/>
      <c r="J569" s="27"/>
      <c r="K569" s="27"/>
      <c r="L569" s="27"/>
      <c r="M569" s="28"/>
      <c r="N569" s="28"/>
      <c r="O569" s="29"/>
    </row>
    <row r="570">
      <c r="I570" s="27"/>
      <c r="J570" s="27"/>
      <c r="K570" s="27"/>
      <c r="L570" s="27"/>
      <c r="M570" s="28"/>
      <c r="N570" s="28"/>
      <c r="O570" s="29"/>
    </row>
    <row r="571">
      <c r="I571" s="27"/>
      <c r="J571" s="27"/>
      <c r="K571" s="27"/>
      <c r="L571" s="27"/>
      <c r="M571" s="28"/>
      <c r="N571" s="28"/>
      <c r="O571" s="29"/>
    </row>
    <row r="572">
      <c r="I572" s="27"/>
      <c r="J572" s="27"/>
      <c r="K572" s="27"/>
      <c r="L572" s="27"/>
      <c r="M572" s="28"/>
      <c r="N572" s="28"/>
      <c r="O572" s="29"/>
    </row>
    <row r="573">
      <c r="I573" s="27"/>
      <c r="J573" s="27"/>
      <c r="K573" s="27"/>
      <c r="L573" s="27"/>
      <c r="M573" s="28"/>
      <c r="N573" s="28"/>
      <c r="O573" s="29"/>
    </row>
    <row r="574">
      <c r="I574" s="27"/>
      <c r="J574" s="27"/>
      <c r="K574" s="27"/>
      <c r="L574" s="27"/>
      <c r="M574" s="28"/>
      <c r="N574" s="28"/>
      <c r="O574" s="29"/>
    </row>
    <row r="575">
      <c r="I575" s="27"/>
      <c r="J575" s="27"/>
      <c r="K575" s="27"/>
      <c r="L575" s="27"/>
      <c r="M575" s="28"/>
      <c r="N575" s="28"/>
      <c r="O575" s="29"/>
    </row>
    <row r="576">
      <c r="I576" s="27"/>
      <c r="J576" s="27"/>
      <c r="K576" s="27"/>
      <c r="L576" s="27"/>
      <c r="M576" s="28"/>
      <c r="N576" s="28"/>
      <c r="O576" s="29"/>
    </row>
    <row r="577">
      <c r="I577" s="27"/>
      <c r="J577" s="27"/>
      <c r="K577" s="27"/>
      <c r="L577" s="27"/>
      <c r="M577" s="28"/>
      <c r="N577" s="28"/>
      <c r="O577" s="29"/>
    </row>
    <row r="578">
      <c r="I578" s="27"/>
      <c r="J578" s="27"/>
      <c r="K578" s="27"/>
      <c r="L578" s="27"/>
      <c r="M578" s="28"/>
      <c r="N578" s="28"/>
      <c r="O578" s="29"/>
    </row>
    <row r="579">
      <c r="I579" s="27"/>
      <c r="J579" s="27"/>
      <c r="K579" s="27"/>
      <c r="L579" s="27"/>
      <c r="M579" s="28"/>
      <c r="N579" s="28"/>
      <c r="O579" s="29"/>
    </row>
    <row r="580">
      <c r="I580" s="27"/>
      <c r="J580" s="27"/>
      <c r="K580" s="27"/>
      <c r="L580" s="27"/>
      <c r="M580" s="28"/>
      <c r="N580" s="28"/>
      <c r="O580" s="29"/>
    </row>
    <row r="581">
      <c r="I581" s="27"/>
      <c r="J581" s="27"/>
      <c r="K581" s="27"/>
      <c r="L581" s="27"/>
      <c r="M581" s="28"/>
      <c r="N581" s="28"/>
      <c r="O581" s="29"/>
    </row>
    <row r="582">
      <c r="I582" s="27"/>
      <c r="J582" s="27"/>
      <c r="K582" s="27"/>
      <c r="L582" s="27"/>
      <c r="M582" s="28"/>
      <c r="N582" s="28"/>
      <c r="O582" s="29"/>
    </row>
    <row r="583">
      <c r="I583" s="27"/>
      <c r="J583" s="27"/>
      <c r="K583" s="27"/>
      <c r="L583" s="27"/>
      <c r="M583" s="28"/>
      <c r="N583" s="28"/>
      <c r="O583" s="29"/>
    </row>
    <row r="584">
      <c r="I584" s="27"/>
      <c r="J584" s="27"/>
      <c r="K584" s="27"/>
      <c r="L584" s="27"/>
      <c r="M584" s="28"/>
      <c r="N584" s="28"/>
      <c r="O584" s="29"/>
    </row>
    <row r="585">
      <c r="I585" s="27"/>
      <c r="J585" s="27"/>
      <c r="K585" s="27"/>
      <c r="L585" s="27"/>
      <c r="M585" s="28"/>
      <c r="N585" s="28"/>
      <c r="O585" s="29"/>
    </row>
    <row r="586">
      <c r="I586" s="27"/>
      <c r="J586" s="27"/>
      <c r="K586" s="27"/>
      <c r="L586" s="27"/>
      <c r="M586" s="28"/>
      <c r="N586" s="28"/>
      <c r="O586" s="29"/>
    </row>
    <row r="587">
      <c r="I587" s="27"/>
      <c r="J587" s="27"/>
      <c r="K587" s="27"/>
      <c r="L587" s="27"/>
      <c r="M587" s="28"/>
      <c r="N587" s="28"/>
      <c r="O587" s="29"/>
    </row>
    <row r="588">
      <c r="I588" s="27"/>
      <c r="J588" s="27"/>
      <c r="K588" s="27"/>
      <c r="L588" s="27"/>
      <c r="M588" s="28"/>
      <c r="N588" s="28"/>
      <c r="O588" s="29"/>
    </row>
    <row r="589">
      <c r="I589" s="27"/>
      <c r="J589" s="27"/>
      <c r="K589" s="27"/>
      <c r="L589" s="27"/>
      <c r="M589" s="28"/>
      <c r="N589" s="28"/>
      <c r="O589" s="29"/>
    </row>
    <row r="590">
      <c r="I590" s="27"/>
      <c r="J590" s="27"/>
      <c r="K590" s="27"/>
      <c r="L590" s="27"/>
      <c r="M590" s="28"/>
      <c r="N590" s="28"/>
      <c r="O590" s="29"/>
    </row>
    <row r="591">
      <c r="I591" s="27"/>
      <c r="J591" s="27"/>
      <c r="K591" s="27"/>
      <c r="L591" s="27"/>
      <c r="M591" s="28"/>
      <c r="N591" s="28"/>
      <c r="O591" s="29"/>
    </row>
    <row r="592">
      <c r="I592" s="27"/>
      <c r="J592" s="27"/>
      <c r="K592" s="27"/>
      <c r="L592" s="27"/>
      <c r="M592" s="28"/>
      <c r="N592" s="28"/>
      <c r="O592" s="29"/>
    </row>
    <row r="593">
      <c r="I593" s="27"/>
      <c r="J593" s="27"/>
      <c r="K593" s="27"/>
      <c r="L593" s="27"/>
      <c r="M593" s="28"/>
      <c r="N593" s="28"/>
      <c r="O593" s="29"/>
    </row>
    <row r="594">
      <c r="I594" s="27"/>
      <c r="J594" s="27"/>
      <c r="K594" s="27"/>
      <c r="L594" s="27"/>
      <c r="M594" s="28"/>
      <c r="N594" s="28"/>
      <c r="O594" s="29"/>
    </row>
    <row r="595">
      <c r="I595" s="27"/>
      <c r="J595" s="27"/>
      <c r="K595" s="27"/>
      <c r="L595" s="27"/>
      <c r="M595" s="28"/>
      <c r="N595" s="28"/>
      <c r="O595" s="29"/>
    </row>
    <row r="596">
      <c r="I596" s="27"/>
      <c r="J596" s="27"/>
      <c r="K596" s="27"/>
      <c r="L596" s="27"/>
      <c r="M596" s="28"/>
      <c r="N596" s="28"/>
      <c r="O596" s="29"/>
    </row>
    <row r="597">
      <c r="I597" s="27"/>
      <c r="J597" s="27"/>
      <c r="K597" s="27"/>
      <c r="L597" s="27"/>
      <c r="M597" s="28"/>
      <c r="N597" s="28"/>
      <c r="O597" s="29"/>
    </row>
    <row r="598">
      <c r="I598" s="27"/>
      <c r="J598" s="27"/>
      <c r="K598" s="27"/>
      <c r="L598" s="27"/>
      <c r="M598" s="28"/>
      <c r="N598" s="28"/>
      <c r="O598" s="29"/>
    </row>
    <row r="599">
      <c r="I599" s="27"/>
      <c r="J599" s="27"/>
      <c r="K599" s="27"/>
      <c r="L599" s="27"/>
      <c r="M599" s="28"/>
      <c r="N599" s="28"/>
      <c r="O599" s="29"/>
    </row>
    <row r="600">
      <c r="I600" s="27"/>
      <c r="J600" s="27"/>
      <c r="K600" s="27"/>
      <c r="L600" s="27"/>
      <c r="M600" s="28"/>
      <c r="N600" s="28"/>
      <c r="O600" s="29"/>
    </row>
    <row r="601">
      <c r="I601" s="27"/>
      <c r="J601" s="27"/>
      <c r="K601" s="27"/>
      <c r="L601" s="27"/>
      <c r="M601" s="28"/>
      <c r="N601" s="28"/>
      <c r="O601" s="29"/>
    </row>
    <row r="602">
      <c r="I602" s="27"/>
      <c r="J602" s="27"/>
      <c r="K602" s="27"/>
      <c r="L602" s="27"/>
      <c r="M602" s="28"/>
      <c r="N602" s="28"/>
      <c r="O602" s="29"/>
    </row>
    <row r="603">
      <c r="I603" s="27"/>
      <c r="J603" s="27"/>
      <c r="K603" s="27"/>
      <c r="L603" s="27"/>
      <c r="M603" s="28"/>
      <c r="N603" s="28"/>
      <c r="O603" s="29"/>
    </row>
    <row r="604">
      <c r="I604" s="27"/>
      <c r="J604" s="27"/>
      <c r="K604" s="27"/>
      <c r="L604" s="27"/>
      <c r="M604" s="28"/>
      <c r="N604" s="28"/>
      <c r="O604" s="29"/>
    </row>
    <row r="605">
      <c r="I605" s="27"/>
      <c r="J605" s="27"/>
      <c r="K605" s="27"/>
      <c r="L605" s="27"/>
      <c r="M605" s="28"/>
      <c r="N605" s="28"/>
      <c r="O605" s="29"/>
    </row>
    <row r="606">
      <c r="I606" s="27"/>
      <c r="J606" s="27"/>
      <c r="K606" s="27"/>
      <c r="L606" s="27"/>
      <c r="M606" s="28"/>
      <c r="N606" s="28"/>
      <c r="O606" s="29"/>
    </row>
    <row r="607">
      <c r="I607" s="27"/>
      <c r="J607" s="27"/>
      <c r="K607" s="27"/>
      <c r="L607" s="27"/>
      <c r="M607" s="28"/>
      <c r="N607" s="28"/>
      <c r="O607" s="29"/>
    </row>
    <row r="608">
      <c r="I608" s="27"/>
      <c r="J608" s="27"/>
      <c r="K608" s="27"/>
      <c r="L608" s="27"/>
      <c r="M608" s="28"/>
      <c r="N608" s="28"/>
      <c r="O608" s="29"/>
    </row>
    <row r="609">
      <c r="I609" s="27"/>
      <c r="J609" s="27"/>
      <c r="K609" s="27"/>
      <c r="L609" s="27"/>
      <c r="M609" s="28"/>
      <c r="N609" s="28"/>
      <c r="O609" s="29"/>
    </row>
    <row r="610">
      <c r="I610" s="27"/>
      <c r="J610" s="27"/>
      <c r="K610" s="27"/>
      <c r="L610" s="27"/>
      <c r="M610" s="28"/>
      <c r="N610" s="28"/>
      <c r="O610" s="29"/>
    </row>
    <row r="611">
      <c r="I611" s="27"/>
      <c r="J611" s="27"/>
      <c r="K611" s="27"/>
      <c r="L611" s="27"/>
      <c r="M611" s="28"/>
      <c r="N611" s="28"/>
      <c r="O611" s="29"/>
    </row>
    <row r="612">
      <c r="I612" s="27"/>
      <c r="J612" s="27"/>
      <c r="K612" s="27"/>
      <c r="L612" s="27"/>
      <c r="M612" s="28"/>
      <c r="N612" s="28"/>
      <c r="O612" s="29"/>
    </row>
    <row r="613">
      <c r="I613" s="27"/>
      <c r="J613" s="27"/>
      <c r="K613" s="27"/>
      <c r="L613" s="27"/>
      <c r="M613" s="28"/>
      <c r="N613" s="28"/>
      <c r="O613" s="29"/>
    </row>
    <row r="614">
      <c r="I614" s="27"/>
      <c r="J614" s="27"/>
      <c r="K614" s="27"/>
      <c r="L614" s="27"/>
      <c r="M614" s="28"/>
      <c r="N614" s="28"/>
      <c r="O614" s="29"/>
    </row>
    <row r="615">
      <c r="I615" s="27"/>
      <c r="J615" s="27"/>
      <c r="K615" s="27"/>
      <c r="L615" s="27"/>
      <c r="M615" s="28"/>
      <c r="N615" s="28"/>
      <c r="O615" s="29"/>
    </row>
    <row r="616">
      <c r="I616" s="27"/>
      <c r="J616" s="27"/>
      <c r="K616" s="27"/>
      <c r="L616" s="27"/>
      <c r="M616" s="28"/>
      <c r="N616" s="28"/>
      <c r="O616" s="29"/>
    </row>
    <row r="617">
      <c r="I617" s="27"/>
      <c r="J617" s="27"/>
      <c r="K617" s="27"/>
      <c r="L617" s="27"/>
      <c r="M617" s="28"/>
      <c r="N617" s="28"/>
      <c r="O617" s="29"/>
    </row>
    <row r="618">
      <c r="I618" s="27"/>
      <c r="J618" s="27"/>
      <c r="K618" s="27"/>
      <c r="L618" s="27"/>
      <c r="M618" s="28"/>
      <c r="N618" s="28"/>
      <c r="O618" s="29"/>
    </row>
    <row r="619">
      <c r="I619" s="27"/>
      <c r="J619" s="27"/>
      <c r="K619" s="27"/>
      <c r="L619" s="27"/>
      <c r="M619" s="28"/>
      <c r="N619" s="28"/>
      <c r="O619" s="29"/>
    </row>
    <row r="620">
      <c r="I620" s="27"/>
      <c r="J620" s="27"/>
      <c r="K620" s="27"/>
      <c r="L620" s="27"/>
      <c r="M620" s="28"/>
      <c r="N620" s="28"/>
      <c r="O620" s="29"/>
    </row>
    <row r="621">
      <c r="I621" s="27"/>
      <c r="J621" s="27"/>
      <c r="K621" s="27"/>
      <c r="L621" s="27"/>
      <c r="M621" s="28"/>
      <c r="N621" s="28"/>
      <c r="O621" s="29"/>
    </row>
    <row r="622">
      <c r="I622" s="27"/>
      <c r="J622" s="27"/>
      <c r="K622" s="27"/>
      <c r="L622" s="27"/>
      <c r="M622" s="28"/>
      <c r="N622" s="28"/>
      <c r="O622" s="29"/>
    </row>
    <row r="623">
      <c r="I623" s="27"/>
      <c r="J623" s="27"/>
      <c r="K623" s="27"/>
      <c r="L623" s="27"/>
      <c r="M623" s="28"/>
      <c r="N623" s="28"/>
      <c r="O623" s="29"/>
    </row>
    <row r="624">
      <c r="I624" s="27"/>
      <c r="J624" s="27"/>
      <c r="K624" s="27"/>
      <c r="L624" s="27"/>
      <c r="M624" s="28"/>
      <c r="N624" s="28"/>
      <c r="O624" s="29"/>
    </row>
    <row r="625">
      <c r="I625" s="27"/>
      <c r="J625" s="27"/>
      <c r="K625" s="27"/>
      <c r="L625" s="27"/>
      <c r="M625" s="28"/>
      <c r="N625" s="28"/>
      <c r="O625" s="29"/>
    </row>
    <row r="626">
      <c r="I626" s="27"/>
      <c r="J626" s="27"/>
      <c r="K626" s="27"/>
      <c r="L626" s="27"/>
      <c r="M626" s="28"/>
      <c r="N626" s="28"/>
      <c r="O626" s="29"/>
    </row>
    <row r="627">
      <c r="I627" s="27"/>
      <c r="J627" s="27"/>
      <c r="K627" s="27"/>
      <c r="L627" s="27"/>
      <c r="M627" s="28"/>
      <c r="N627" s="28"/>
      <c r="O627" s="29"/>
    </row>
    <row r="628">
      <c r="I628" s="27"/>
      <c r="J628" s="27"/>
      <c r="K628" s="27"/>
      <c r="L628" s="27"/>
      <c r="M628" s="28"/>
      <c r="N628" s="28"/>
      <c r="O628" s="29"/>
    </row>
    <row r="629">
      <c r="I629" s="27"/>
      <c r="J629" s="27"/>
      <c r="K629" s="27"/>
      <c r="L629" s="27"/>
      <c r="M629" s="28"/>
      <c r="N629" s="28"/>
      <c r="O629" s="29"/>
    </row>
    <row r="630">
      <c r="I630" s="27"/>
      <c r="J630" s="27"/>
      <c r="K630" s="27"/>
      <c r="L630" s="27"/>
      <c r="M630" s="28"/>
      <c r="N630" s="28"/>
      <c r="O630" s="29"/>
    </row>
    <row r="631">
      <c r="I631" s="27"/>
      <c r="J631" s="27"/>
      <c r="K631" s="27"/>
      <c r="L631" s="27"/>
      <c r="M631" s="28"/>
      <c r="N631" s="28"/>
      <c r="O631" s="29"/>
    </row>
    <row r="632">
      <c r="I632" s="27"/>
      <c r="J632" s="27"/>
      <c r="K632" s="27"/>
      <c r="L632" s="27"/>
      <c r="M632" s="28"/>
      <c r="N632" s="28"/>
      <c r="O632" s="29"/>
    </row>
    <row r="633">
      <c r="I633" s="27"/>
      <c r="J633" s="27"/>
      <c r="K633" s="27"/>
      <c r="L633" s="27"/>
      <c r="M633" s="28"/>
      <c r="N633" s="28"/>
      <c r="O633" s="29"/>
    </row>
    <row r="634">
      <c r="I634" s="27"/>
      <c r="J634" s="27"/>
      <c r="K634" s="27"/>
      <c r="L634" s="27"/>
      <c r="M634" s="28"/>
      <c r="N634" s="28"/>
      <c r="O634" s="29"/>
    </row>
    <row r="635">
      <c r="I635" s="27"/>
      <c r="J635" s="27"/>
      <c r="K635" s="27"/>
      <c r="L635" s="27"/>
      <c r="M635" s="28"/>
      <c r="N635" s="28"/>
      <c r="O635" s="29"/>
    </row>
    <row r="636">
      <c r="I636" s="27"/>
      <c r="J636" s="27"/>
      <c r="K636" s="27"/>
      <c r="L636" s="27"/>
      <c r="M636" s="28"/>
      <c r="N636" s="28"/>
      <c r="O636" s="29"/>
    </row>
    <row r="637">
      <c r="I637" s="27"/>
      <c r="J637" s="27"/>
      <c r="K637" s="27"/>
      <c r="L637" s="27"/>
      <c r="M637" s="28"/>
      <c r="N637" s="28"/>
      <c r="O637" s="29"/>
    </row>
    <row r="638">
      <c r="I638" s="27"/>
      <c r="J638" s="27"/>
      <c r="K638" s="27"/>
      <c r="L638" s="27"/>
      <c r="M638" s="28"/>
      <c r="N638" s="28"/>
      <c r="O638" s="29"/>
    </row>
    <row r="639">
      <c r="I639" s="27"/>
      <c r="J639" s="27"/>
      <c r="K639" s="27"/>
      <c r="L639" s="27"/>
      <c r="M639" s="28"/>
      <c r="N639" s="28"/>
      <c r="O639" s="29"/>
    </row>
    <row r="640">
      <c r="I640" s="27"/>
      <c r="J640" s="27"/>
      <c r="K640" s="27"/>
      <c r="L640" s="27"/>
      <c r="M640" s="28"/>
      <c r="N640" s="28"/>
      <c r="O640" s="29"/>
    </row>
    <row r="641">
      <c r="I641" s="27"/>
      <c r="J641" s="27"/>
      <c r="K641" s="27"/>
      <c r="L641" s="27"/>
      <c r="M641" s="28"/>
      <c r="N641" s="28"/>
      <c r="O641" s="29"/>
    </row>
    <row r="642">
      <c r="I642" s="27"/>
      <c r="J642" s="27"/>
      <c r="K642" s="27"/>
      <c r="L642" s="27"/>
      <c r="M642" s="28"/>
      <c r="N642" s="28"/>
      <c r="O642" s="29"/>
    </row>
    <row r="643">
      <c r="I643" s="27"/>
      <c r="J643" s="27"/>
      <c r="K643" s="27"/>
      <c r="L643" s="27"/>
      <c r="M643" s="28"/>
      <c r="N643" s="28"/>
      <c r="O643" s="29"/>
    </row>
    <row r="644">
      <c r="I644" s="27"/>
      <c r="J644" s="27"/>
      <c r="K644" s="27"/>
      <c r="L644" s="27"/>
      <c r="M644" s="28"/>
      <c r="N644" s="28"/>
      <c r="O644" s="29"/>
    </row>
    <row r="645">
      <c r="I645" s="27"/>
      <c r="J645" s="27"/>
      <c r="K645" s="27"/>
      <c r="L645" s="27"/>
      <c r="M645" s="28"/>
      <c r="N645" s="28"/>
      <c r="O645" s="29"/>
    </row>
    <row r="646">
      <c r="I646" s="27"/>
      <c r="J646" s="27"/>
      <c r="K646" s="27"/>
      <c r="L646" s="27"/>
      <c r="M646" s="28"/>
      <c r="N646" s="28"/>
      <c r="O646" s="29"/>
    </row>
    <row r="647">
      <c r="I647" s="27"/>
      <c r="J647" s="27"/>
      <c r="K647" s="27"/>
      <c r="L647" s="27"/>
      <c r="M647" s="28"/>
      <c r="N647" s="28"/>
      <c r="O647" s="29"/>
    </row>
    <row r="648">
      <c r="I648" s="27"/>
      <c r="J648" s="27"/>
      <c r="K648" s="27"/>
      <c r="L648" s="27"/>
      <c r="M648" s="28"/>
      <c r="N648" s="28"/>
      <c r="O648" s="29"/>
    </row>
    <row r="649">
      <c r="I649" s="27"/>
      <c r="J649" s="27"/>
      <c r="K649" s="27"/>
      <c r="L649" s="27"/>
      <c r="M649" s="28"/>
      <c r="N649" s="28"/>
      <c r="O649" s="29"/>
    </row>
    <row r="650">
      <c r="I650" s="27"/>
      <c r="J650" s="27"/>
      <c r="K650" s="27"/>
      <c r="L650" s="27"/>
      <c r="M650" s="28"/>
      <c r="N650" s="28"/>
      <c r="O650" s="29"/>
    </row>
    <row r="651">
      <c r="I651" s="27"/>
      <c r="J651" s="27"/>
      <c r="K651" s="27"/>
      <c r="L651" s="27"/>
      <c r="M651" s="28"/>
      <c r="N651" s="28"/>
      <c r="O651" s="29"/>
    </row>
    <row r="652">
      <c r="I652" s="27"/>
      <c r="J652" s="27"/>
      <c r="K652" s="27"/>
      <c r="L652" s="27"/>
      <c r="M652" s="28"/>
      <c r="N652" s="28"/>
      <c r="O652" s="29"/>
    </row>
    <row r="653">
      <c r="I653" s="27"/>
      <c r="J653" s="27"/>
      <c r="K653" s="27"/>
      <c r="L653" s="27"/>
      <c r="M653" s="28"/>
      <c r="N653" s="28"/>
      <c r="O653" s="29"/>
    </row>
    <row r="654">
      <c r="I654" s="27"/>
      <c r="J654" s="27"/>
      <c r="K654" s="27"/>
      <c r="L654" s="27"/>
      <c r="M654" s="28"/>
      <c r="N654" s="28"/>
      <c r="O654" s="29"/>
    </row>
    <row r="655">
      <c r="I655" s="27"/>
      <c r="J655" s="27"/>
      <c r="K655" s="27"/>
      <c r="L655" s="27"/>
      <c r="M655" s="28"/>
      <c r="N655" s="28"/>
      <c r="O655" s="29"/>
    </row>
    <row r="656">
      <c r="I656" s="27"/>
      <c r="J656" s="27"/>
      <c r="K656" s="27"/>
      <c r="L656" s="27"/>
      <c r="M656" s="28"/>
      <c r="N656" s="28"/>
      <c r="O656" s="29"/>
    </row>
    <row r="657">
      <c r="I657" s="27"/>
      <c r="J657" s="27"/>
      <c r="K657" s="27"/>
      <c r="L657" s="27"/>
      <c r="M657" s="28"/>
      <c r="N657" s="28"/>
      <c r="O657" s="29"/>
    </row>
    <row r="658">
      <c r="I658" s="27"/>
      <c r="J658" s="27"/>
      <c r="K658" s="27"/>
      <c r="L658" s="27"/>
      <c r="M658" s="28"/>
      <c r="N658" s="28"/>
      <c r="O658" s="29"/>
    </row>
    <row r="659">
      <c r="I659" s="27"/>
      <c r="J659" s="27"/>
      <c r="K659" s="27"/>
      <c r="L659" s="27"/>
      <c r="M659" s="28"/>
      <c r="N659" s="28"/>
      <c r="O659" s="29"/>
    </row>
    <row r="660">
      <c r="I660" s="27"/>
      <c r="J660" s="27"/>
      <c r="K660" s="27"/>
      <c r="L660" s="27"/>
      <c r="M660" s="28"/>
      <c r="N660" s="28"/>
      <c r="O660" s="29"/>
    </row>
    <row r="661">
      <c r="I661" s="27"/>
      <c r="J661" s="27"/>
      <c r="K661" s="27"/>
      <c r="L661" s="27"/>
      <c r="M661" s="28"/>
      <c r="N661" s="28"/>
      <c r="O661" s="29"/>
    </row>
    <row r="662">
      <c r="I662" s="27"/>
      <c r="J662" s="27"/>
      <c r="K662" s="27"/>
      <c r="L662" s="27"/>
      <c r="M662" s="28"/>
      <c r="N662" s="28"/>
      <c r="O662" s="29"/>
    </row>
    <row r="663">
      <c r="I663" s="27"/>
      <c r="J663" s="27"/>
      <c r="K663" s="27"/>
      <c r="L663" s="27"/>
      <c r="M663" s="28"/>
      <c r="N663" s="28"/>
      <c r="O663" s="29"/>
    </row>
    <row r="664">
      <c r="I664" s="27"/>
      <c r="J664" s="27"/>
      <c r="K664" s="27"/>
      <c r="L664" s="27"/>
      <c r="M664" s="28"/>
      <c r="N664" s="28"/>
      <c r="O664" s="29"/>
    </row>
    <row r="665">
      <c r="I665" s="27"/>
      <c r="J665" s="27"/>
      <c r="K665" s="27"/>
      <c r="L665" s="27"/>
      <c r="M665" s="28"/>
      <c r="N665" s="28"/>
      <c r="O665" s="29"/>
    </row>
    <row r="666">
      <c r="I666" s="27"/>
      <c r="J666" s="27"/>
      <c r="K666" s="27"/>
      <c r="L666" s="27"/>
      <c r="M666" s="28"/>
      <c r="N666" s="28"/>
      <c r="O666" s="29"/>
    </row>
    <row r="667">
      <c r="I667" s="27"/>
      <c r="J667" s="27"/>
      <c r="K667" s="27"/>
      <c r="L667" s="27"/>
      <c r="M667" s="28"/>
      <c r="N667" s="28"/>
      <c r="O667" s="29"/>
    </row>
    <row r="668">
      <c r="I668" s="27"/>
      <c r="J668" s="27"/>
      <c r="K668" s="27"/>
      <c r="L668" s="27"/>
      <c r="M668" s="28"/>
      <c r="N668" s="28"/>
      <c r="O668" s="29"/>
    </row>
    <row r="669">
      <c r="I669" s="27"/>
      <c r="J669" s="27"/>
      <c r="K669" s="27"/>
      <c r="L669" s="27"/>
      <c r="M669" s="28"/>
      <c r="N669" s="28"/>
      <c r="O669" s="29"/>
    </row>
    <row r="670">
      <c r="I670" s="27"/>
      <c r="J670" s="27"/>
      <c r="K670" s="27"/>
      <c r="L670" s="27"/>
      <c r="M670" s="28"/>
      <c r="N670" s="28"/>
      <c r="O670" s="29"/>
    </row>
    <row r="671">
      <c r="I671" s="27"/>
      <c r="J671" s="27"/>
      <c r="K671" s="27"/>
      <c r="L671" s="27"/>
      <c r="M671" s="28"/>
      <c r="N671" s="28"/>
      <c r="O671" s="29"/>
    </row>
    <row r="672">
      <c r="I672" s="27"/>
      <c r="J672" s="27"/>
      <c r="K672" s="27"/>
      <c r="L672" s="27"/>
      <c r="M672" s="28"/>
      <c r="N672" s="28"/>
      <c r="O672" s="29"/>
    </row>
    <row r="673">
      <c r="I673" s="27"/>
      <c r="J673" s="27"/>
      <c r="K673" s="27"/>
      <c r="L673" s="27"/>
      <c r="M673" s="28"/>
      <c r="N673" s="28"/>
      <c r="O673" s="29"/>
    </row>
    <row r="674">
      <c r="I674" s="27"/>
      <c r="J674" s="27"/>
      <c r="K674" s="27"/>
      <c r="L674" s="27"/>
      <c r="M674" s="28"/>
      <c r="N674" s="28"/>
      <c r="O674" s="29"/>
    </row>
    <row r="675">
      <c r="I675" s="27"/>
      <c r="J675" s="27"/>
      <c r="K675" s="27"/>
      <c r="L675" s="27"/>
      <c r="M675" s="28"/>
      <c r="N675" s="28"/>
      <c r="O675" s="29"/>
    </row>
    <row r="676">
      <c r="I676" s="27"/>
      <c r="J676" s="27"/>
      <c r="K676" s="27"/>
      <c r="L676" s="27"/>
      <c r="M676" s="28"/>
      <c r="N676" s="28"/>
      <c r="O676" s="29"/>
    </row>
    <row r="677">
      <c r="I677" s="27"/>
      <c r="J677" s="27"/>
      <c r="K677" s="27"/>
      <c r="L677" s="27"/>
      <c r="M677" s="28"/>
      <c r="N677" s="28"/>
      <c r="O677" s="29"/>
    </row>
    <row r="678">
      <c r="I678" s="27"/>
      <c r="J678" s="27"/>
      <c r="K678" s="27"/>
      <c r="L678" s="27"/>
      <c r="M678" s="28"/>
      <c r="N678" s="28"/>
      <c r="O678" s="29"/>
    </row>
    <row r="679">
      <c r="I679" s="27"/>
      <c r="J679" s="27"/>
      <c r="K679" s="27"/>
      <c r="L679" s="27"/>
      <c r="M679" s="28"/>
      <c r="N679" s="28"/>
      <c r="O679" s="29"/>
    </row>
    <row r="680">
      <c r="I680" s="27"/>
      <c r="J680" s="27"/>
      <c r="K680" s="27"/>
      <c r="L680" s="27"/>
      <c r="M680" s="28"/>
      <c r="N680" s="28"/>
      <c r="O680" s="29"/>
    </row>
    <row r="681">
      <c r="I681" s="27"/>
      <c r="J681" s="27"/>
      <c r="K681" s="27"/>
      <c r="L681" s="27"/>
      <c r="M681" s="28"/>
      <c r="N681" s="28"/>
      <c r="O681" s="29"/>
    </row>
    <row r="682">
      <c r="I682" s="27"/>
      <c r="J682" s="27"/>
      <c r="K682" s="27"/>
      <c r="L682" s="27"/>
      <c r="M682" s="28"/>
      <c r="N682" s="28"/>
      <c r="O682" s="29"/>
    </row>
    <row r="683">
      <c r="I683" s="27"/>
      <c r="J683" s="27"/>
      <c r="K683" s="27"/>
      <c r="L683" s="27"/>
      <c r="M683" s="28"/>
      <c r="N683" s="28"/>
      <c r="O683" s="29"/>
    </row>
    <row r="684">
      <c r="I684" s="27"/>
      <c r="J684" s="27"/>
      <c r="K684" s="27"/>
      <c r="L684" s="27"/>
      <c r="M684" s="28"/>
      <c r="N684" s="28"/>
      <c r="O684" s="29"/>
    </row>
    <row r="685">
      <c r="I685" s="27"/>
      <c r="J685" s="27"/>
      <c r="K685" s="27"/>
      <c r="L685" s="27"/>
      <c r="M685" s="28"/>
      <c r="N685" s="28"/>
      <c r="O685" s="29"/>
    </row>
    <row r="686">
      <c r="I686" s="27"/>
      <c r="J686" s="27"/>
      <c r="K686" s="27"/>
      <c r="L686" s="27"/>
      <c r="M686" s="28"/>
      <c r="N686" s="28"/>
      <c r="O686" s="29"/>
    </row>
    <row r="687">
      <c r="I687" s="27"/>
      <c r="J687" s="27"/>
      <c r="K687" s="27"/>
      <c r="L687" s="27"/>
      <c r="M687" s="28"/>
      <c r="N687" s="28"/>
      <c r="O687" s="29"/>
    </row>
    <row r="688">
      <c r="I688" s="27"/>
      <c r="J688" s="27"/>
      <c r="K688" s="27"/>
      <c r="L688" s="27"/>
      <c r="M688" s="28"/>
      <c r="N688" s="28"/>
      <c r="O688" s="29"/>
    </row>
    <row r="689">
      <c r="I689" s="27"/>
      <c r="J689" s="27"/>
      <c r="K689" s="27"/>
      <c r="L689" s="27"/>
      <c r="M689" s="28"/>
      <c r="N689" s="28"/>
      <c r="O689" s="29"/>
    </row>
    <row r="690">
      <c r="I690" s="27"/>
      <c r="J690" s="27"/>
      <c r="K690" s="27"/>
      <c r="L690" s="27"/>
      <c r="M690" s="28"/>
      <c r="N690" s="28"/>
      <c r="O690" s="29"/>
    </row>
    <row r="691">
      <c r="I691" s="27"/>
      <c r="J691" s="27"/>
      <c r="K691" s="27"/>
      <c r="L691" s="27"/>
      <c r="M691" s="28"/>
      <c r="N691" s="28"/>
      <c r="O691" s="29"/>
    </row>
    <row r="692">
      <c r="I692" s="27"/>
      <c r="J692" s="27"/>
      <c r="K692" s="27"/>
      <c r="L692" s="27"/>
      <c r="M692" s="28"/>
      <c r="N692" s="28"/>
      <c r="O692" s="29"/>
    </row>
    <row r="693">
      <c r="I693" s="27"/>
      <c r="J693" s="27"/>
      <c r="K693" s="27"/>
      <c r="L693" s="27"/>
      <c r="M693" s="28"/>
      <c r="N693" s="28"/>
      <c r="O693" s="29"/>
    </row>
    <row r="694">
      <c r="I694" s="27"/>
      <c r="J694" s="27"/>
      <c r="K694" s="27"/>
      <c r="L694" s="27"/>
      <c r="M694" s="28"/>
      <c r="N694" s="28"/>
      <c r="O694" s="29"/>
    </row>
    <row r="695">
      <c r="I695" s="27"/>
      <c r="J695" s="27"/>
      <c r="K695" s="27"/>
      <c r="L695" s="27"/>
      <c r="M695" s="28"/>
      <c r="N695" s="28"/>
      <c r="O695" s="29"/>
    </row>
    <row r="696">
      <c r="I696" s="27"/>
      <c r="J696" s="27"/>
      <c r="K696" s="27"/>
      <c r="L696" s="27"/>
      <c r="M696" s="28"/>
      <c r="N696" s="28"/>
      <c r="O696" s="29"/>
    </row>
    <row r="697">
      <c r="I697" s="27"/>
      <c r="J697" s="27"/>
      <c r="K697" s="27"/>
      <c r="L697" s="27"/>
      <c r="M697" s="28"/>
      <c r="N697" s="28"/>
      <c r="O697" s="29"/>
    </row>
    <row r="698">
      <c r="I698" s="27"/>
      <c r="J698" s="27"/>
      <c r="K698" s="27"/>
      <c r="L698" s="27"/>
      <c r="M698" s="28"/>
      <c r="N698" s="28"/>
      <c r="O698" s="29"/>
    </row>
    <row r="699">
      <c r="I699" s="27"/>
      <c r="J699" s="27"/>
      <c r="K699" s="27"/>
      <c r="L699" s="27"/>
      <c r="M699" s="28"/>
      <c r="N699" s="28"/>
      <c r="O699" s="29"/>
    </row>
    <row r="700">
      <c r="I700" s="27"/>
      <c r="J700" s="27"/>
      <c r="K700" s="27"/>
      <c r="L700" s="27"/>
      <c r="M700" s="28"/>
      <c r="N700" s="28"/>
      <c r="O700" s="29"/>
    </row>
    <row r="701">
      <c r="I701" s="27"/>
      <c r="J701" s="27"/>
      <c r="K701" s="27"/>
      <c r="L701" s="27"/>
      <c r="M701" s="28"/>
      <c r="N701" s="28"/>
      <c r="O701" s="29"/>
    </row>
    <row r="702">
      <c r="I702" s="27"/>
      <c r="J702" s="27"/>
      <c r="K702" s="27"/>
      <c r="L702" s="27"/>
      <c r="M702" s="28"/>
      <c r="N702" s="28"/>
      <c r="O702" s="29"/>
    </row>
    <row r="703">
      <c r="I703" s="27"/>
      <c r="J703" s="27"/>
      <c r="K703" s="27"/>
      <c r="L703" s="27"/>
      <c r="M703" s="28"/>
      <c r="N703" s="28"/>
      <c r="O703" s="29"/>
    </row>
    <row r="704">
      <c r="I704" s="27"/>
      <c r="J704" s="27"/>
      <c r="K704" s="27"/>
      <c r="L704" s="27"/>
      <c r="M704" s="28"/>
      <c r="N704" s="28"/>
      <c r="O704" s="29"/>
    </row>
    <row r="705">
      <c r="I705" s="27"/>
      <c r="J705" s="27"/>
      <c r="K705" s="27"/>
      <c r="L705" s="27"/>
      <c r="M705" s="28"/>
      <c r="N705" s="28"/>
      <c r="O705" s="29"/>
    </row>
    <row r="706">
      <c r="I706" s="27"/>
      <c r="J706" s="27"/>
      <c r="K706" s="27"/>
      <c r="L706" s="27"/>
      <c r="M706" s="28"/>
      <c r="N706" s="28"/>
      <c r="O706" s="29"/>
    </row>
    <row r="707">
      <c r="I707" s="27"/>
      <c r="J707" s="27"/>
      <c r="K707" s="27"/>
      <c r="L707" s="27"/>
      <c r="M707" s="28"/>
      <c r="N707" s="28"/>
      <c r="O707" s="29"/>
    </row>
    <row r="708">
      <c r="I708" s="27"/>
      <c r="J708" s="27"/>
      <c r="K708" s="27"/>
      <c r="L708" s="27"/>
      <c r="M708" s="28"/>
      <c r="N708" s="28"/>
      <c r="O708" s="29"/>
    </row>
    <row r="709">
      <c r="I709" s="27"/>
      <c r="J709" s="27"/>
      <c r="K709" s="27"/>
      <c r="L709" s="27"/>
      <c r="M709" s="28"/>
      <c r="N709" s="28"/>
      <c r="O709" s="29"/>
    </row>
    <row r="710">
      <c r="I710" s="27"/>
      <c r="J710" s="27"/>
      <c r="K710" s="27"/>
      <c r="L710" s="27"/>
      <c r="M710" s="28"/>
      <c r="N710" s="28"/>
      <c r="O710" s="29"/>
    </row>
    <row r="711">
      <c r="I711" s="27"/>
      <c r="J711" s="27"/>
      <c r="K711" s="27"/>
      <c r="L711" s="27"/>
      <c r="M711" s="28"/>
      <c r="N711" s="28"/>
      <c r="O711" s="29"/>
    </row>
    <row r="712">
      <c r="I712" s="27"/>
      <c r="J712" s="27"/>
      <c r="K712" s="27"/>
      <c r="L712" s="27"/>
      <c r="M712" s="28"/>
      <c r="N712" s="28"/>
      <c r="O712" s="29"/>
    </row>
    <row r="713">
      <c r="I713" s="27"/>
      <c r="J713" s="27"/>
      <c r="K713" s="27"/>
      <c r="L713" s="27"/>
      <c r="M713" s="28"/>
      <c r="N713" s="28"/>
      <c r="O713" s="29"/>
    </row>
    <row r="714">
      <c r="I714" s="27"/>
      <c r="J714" s="27"/>
      <c r="K714" s="27"/>
      <c r="L714" s="27"/>
      <c r="M714" s="28"/>
      <c r="N714" s="28"/>
      <c r="O714" s="29"/>
    </row>
    <row r="715">
      <c r="I715" s="27"/>
      <c r="J715" s="27"/>
      <c r="K715" s="27"/>
      <c r="L715" s="27"/>
      <c r="M715" s="28"/>
      <c r="N715" s="28"/>
      <c r="O715" s="29"/>
    </row>
    <row r="716">
      <c r="I716" s="27"/>
      <c r="J716" s="27"/>
      <c r="K716" s="27"/>
      <c r="L716" s="27"/>
      <c r="M716" s="28"/>
      <c r="N716" s="28"/>
      <c r="O716" s="29"/>
    </row>
    <row r="717">
      <c r="I717" s="27"/>
      <c r="J717" s="27"/>
      <c r="K717" s="27"/>
      <c r="L717" s="27"/>
      <c r="M717" s="28"/>
      <c r="N717" s="28"/>
      <c r="O717" s="29"/>
    </row>
    <row r="718">
      <c r="I718" s="27"/>
      <c r="J718" s="27"/>
      <c r="K718" s="27"/>
      <c r="L718" s="27"/>
      <c r="M718" s="28"/>
      <c r="N718" s="28"/>
      <c r="O718" s="29"/>
    </row>
    <row r="719">
      <c r="I719" s="27"/>
      <c r="J719" s="27"/>
      <c r="K719" s="27"/>
      <c r="L719" s="27"/>
      <c r="M719" s="28"/>
      <c r="N719" s="28"/>
      <c r="O719" s="29"/>
    </row>
    <row r="720">
      <c r="I720" s="27"/>
      <c r="J720" s="27"/>
      <c r="K720" s="27"/>
      <c r="L720" s="27"/>
      <c r="M720" s="28"/>
      <c r="N720" s="28"/>
      <c r="O720" s="29"/>
    </row>
    <row r="721">
      <c r="I721" s="27"/>
      <c r="J721" s="27"/>
      <c r="K721" s="27"/>
      <c r="L721" s="27"/>
      <c r="M721" s="28"/>
      <c r="N721" s="28"/>
      <c r="O721" s="29"/>
    </row>
    <row r="722">
      <c r="I722" s="27"/>
      <c r="J722" s="27"/>
      <c r="K722" s="27"/>
      <c r="L722" s="27"/>
      <c r="M722" s="28"/>
      <c r="N722" s="28"/>
      <c r="O722" s="29"/>
    </row>
    <row r="723">
      <c r="I723" s="27"/>
      <c r="J723" s="27"/>
      <c r="K723" s="27"/>
      <c r="L723" s="27"/>
      <c r="M723" s="28"/>
      <c r="N723" s="28"/>
      <c r="O723" s="29"/>
    </row>
    <row r="724">
      <c r="I724" s="27"/>
      <c r="J724" s="27"/>
      <c r="K724" s="27"/>
      <c r="L724" s="27"/>
      <c r="M724" s="28"/>
      <c r="N724" s="28"/>
      <c r="O724" s="29"/>
    </row>
    <row r="725">
      <c r="I725" s="27"/>
      <c r="J725" s="27"/>
      <c r="K725" s="27"/>
      <c r="L725" s="27"/>
      <c r="M725" s="28"/>
      <c r="N725" s="28"/>
      <c r="O725" s="29"/>
    </row>
    <row r="726">
      <c r="I726" s="27"/>
      <c r="J726" s="27"/>
      <c r="K726" s="27"/>
      <c r="L726" s="27"/>
      <c r="M726" s="28"/>
      <c r="N726" s="28"/>
      <c r="O726" s="29"/>
    </row>
    <row r="727">
      <c r="I727" s="27"/>
      <c r="J727" s="27"/>
      <c r="K727" s="27"/>
      <c r="L727" s="27"/>
      <c r="M727" s="28"/>
      <c r="N727" s="28"/>
      <c r="O727" s="29"/>
    </row>
    <row r="728">
      <c r="I728" s="27"/>
      <c r="J728" s="27"/>
      <c r="K728" s="27"/>
      <c r="L728" s="27"/>
      <c r="M728" s="28"/>
      <c r="N728" s="28"/>
      <c r="O728" s="29"/>
    </row>
    <row r="729">
      <c r="I729" s="27"/>
      <c r="J729" s="27"/>
      <c r="K729" s="27"/>
      <c r="L729" s="27"/>
      <c r="M729" s="28"/>
      <c r="N729" s="28"/>
      <c r="O729" s="29"/>
    </row>
    <row r="730">
      <c r="I730" s="27"/>
      <c r="J730" s="27"/>
      <c r="K730" s="27"/>
      <c r="L730" s="27"/>
      <c r="M730" s="28"/>
      <c r="N730" s="28"/>
      <c r="O730" s="29"/>
    </row>
    <row r="731">
      <c r="I731" s="27"/>
      <c r="J731" s="27"/>
      <c r="K731" s="27"/>
      <c r="L731" s="27"/>
      <c r="M731" s="28"/>
      <c r="N731" s="28"/>
      <c r="O731" s="29"/>
    </row>
    <row r="732">
      <c r="I732" s="27"/>
      <c r="J732" s="27"/>
      <c r="K732" s="27"/>
      <c r="L732" s="27"/>
      <c r="M732" s="28"/>
      <c r="N732" s="28"/>
      <c r="O732" s="29"/>
    </row>
    <row r="733">
      <c r="I733" s="27"/>
      <c r="J733" s="27"/>
      <c r="K733" s="27"/>
      <c r="L733" s="27"/>
      <c r="M733" s="28"/>
      <c r="N733" s="28"/>
      <c r="O733" s="29"/>
    </row>
    <row r="734">
      <c r="I734" s="27"/>
      <c r="J734" s="27"/>
      <c r="K734" s="27"/>
      <c r="L734" s="27"/>
      <c r="M734" s="28"/>
      <c r="N734" s="28"/>
      <c r="O734" s="29"/>
    </row>
    <row r="735">
      <c r="I735" s="27"/>
      <c r="J735" s="27"/>
      <c r="K735" s="27"/>
      <c r="L735" s="27"/>
      <c r="M735" s="28"/>
      <c r="N735" s="28"/>
      <c r="O735" s="29"/>
    </row>
    <row r="736">
      <c r="I736" s="27"/>
      <c r="J736" s="27"/>
      <c r="K736" s="27"/>
      <c r="L736" s="27"/>
      <c r="M736" s="28"/>
      <c r="N736" s="28"/>
      <c r="O736" s="29"/>
    </row>
    <row r="737">
      <c r="I737" s="27"/>
      <c r="J737" s="27"/>
      <c r="K737" s="27"/>
      <c r="L737" s="27"/>
      <c r="M737" s="28"/>
      <c r="N737" s="28"/>
      <c r="O737" s="29"/>
    </row>
    <row r="738">
      <c r="I738" s="27"/>
      <c r="J738" s="27"/>
      <c r="K738" s="27"/>
      <c r="L738" s="27"/>
      <c r="M738" s="28"/>
      <c r="N738" s="28"/>
      <c r="O738" s="29"/>
    </row>
    <row r="739">
      <c r="I739" s="27"/>
      <c r="J739" s="27"/>
      <c r="K739" s="27"/>
      <c r="L739" s="27"/>
      <c r="M739" s="28"/>
      <c r="N739" s="28"/>
      <c r="O739" s="29"/>
    </row>
    <row r="740">
      <c r="I740" s="27"/>
      <c r="J740" s="27"/>
      <c r="K740" s="27"/>
      <c r="L740" s="27"/>
      <c r="M740" s="28"/>
      <c r="N740" s="28"/>
      <c r="O740" s="29"/>
    </row>
    <row r="741">
      <c r="I741" s="27"/>
      <c r="J741" s="27"/>
      <c r="K741" s="27"/>
      <c r="L741" s="27"/>
      <c r="M741" s="28"/>
      <c r="N741" s="28"/>
      <c r="O741" s="29"/>
    </row>
    <row r="742">
      <c r="I742" s="27"/>
      <c r="J742" s="27"/>
      <c r="K742" s="27"/>
      <c r="L742" s="27"/>
      <c r="M742" s="28"/>
      <c r="N742" s="28"/>
      <c r="O742" s="29"/>
    </row>
    <row r="743">
      <c r="I743" s="27"/>
      <c r="J743" s="27"/>
      <c r="K743" s="27"/>
      <c r="L743" s="27"/>
      <c r="M743" s="28"/>
      <c r="N743" s="28"/>
      <c r="O743" s="29"/>
    </row>
    <row r="744">
      <c r="I744" s="27"/>
      <c r="J744" s="27"/>
      <c r="K744" s="27"/>
      <c r="L744" s="27"/>
      <c r="M744" s="28"/>
      <c r="N744" s="28"/>
      <c r="O744" s="29"/>
    </row>
    <row r="745">
      <c r="I745" s="27"/>
      <c r="J745" s="27"/>
      <c r="K745" s="27"/>
      <c r="L745" s="27"/>
      <c r="M745" s="28"/>
      <c r="N745" s="28"/>
      <c r="O745" s="29"/>
    </row>
    <row r="746">
      <c r="I746" s="27"/>
      <c r="J746" s="27"/>
      <c r="K746" s="27"/>
      <c r="L746" s="27"/>
      <c r="M746" s="28"/>
      <c r="N746" s="28"/>
      <c r="O746" s="29"/>
    </row>
    <row r="747">
      <c r="I747" s="27"/>
      <c r="J747" s="27"/>
      <c r="K747" s="27"/>
      <c r="L747" s="27"/>
      <c r="M747" s="28"/>
      <c r="N747" s="28"/>
      <c r="O747" s="29"/>
    </row>
    <row r="748">
      <c r="I748" s="27"/>
      <c r="J748" s="27"/>
      <c r="K748" s="27"/>
      <c r="L748" s="27"/>
      <c r="M748" s="28"/>
      <c r="N748" s="28"/>
      <c r="O748" s="29"/>
    </row>
    <row r="749">
      <c r="I749" s="27"/>
      <c r="J749" s="27"/>
      <c r="K749" s="27"/>
      <c r="L749" s="27"/>
      <c r="M749" s="28"/>
      <c r="N749" s="28"/>
      <c r="O749" s="29"/>
    </row>
    <row r="750">
      <c r="I750" s="27"/>
      <c r="J750" s="27"/>
      <c r="K750" s="27"/>
      <c r="L750" s="27"/>
      <c r="M750" s="28"/>
      <c r="N750" s="28"/>
      <c r="O750" s="29"/>
    </row>
    <row r="751">
      <c r="I751" s="27"/>
      <c r="J751" s="27"/>
      <c r="K751" s="27"/>
      <c r="L751" s="27"/>
      <c r="M751" s="28"/>
      <c r="N751" s="28"/>
      <c r="O751" s="29"/>
    </row>
    <row r="752">
      <c r="I752" s="27"/>
      <c r="J752" s="27"/>
      <c r="K752" s="27"/>
      <c r="L752" s="27"/>
      <c r="M752" s="28"/>
      <c r="N752" s="28"/>
      <c r="O752" s="29"/>
    </row>
    <row r="753">
      <c r="I753" s="27"/>
      <c r="J753" s="27"/>
      <c r="K753" s="27"/>
      <c r="L753" s="27"/>
      <c r="M753" s="28"/>
      <c r="N753" s="28"/>
      <c r="O753" s="29"/>
    </row>
    <row r="754">
      <c r="I754" s="27"/>
      <c r="J754" s="27"/>
      <c r="K754" s="27"/>
      <c r="L754" s="27"/>
      <c r="M754" s="28"/>
      <c r="N754" s="28"/>
      <c r="O754" s="29"/>
    </row>
    <row r="755">
      <c r="I755" s="27"/>
      <c r="J755" s="27"/>
      <c r="K755" s="27"/>
      <c r="L755" s="27"/>
      <c r="M755" s="28"/>
      <c r="N755" s="28"/>
      <c r="O755" s="29"/>
    </row>
    <row r="756">
      <c r="I756" s="27"/>
      <c r="J756" s="27"/>
      <c r="K756" s="27"/>
      <c r="L756" s="27"/>
      <c r="M756" s="28"/>
      <c r="N756" s="28"/>
      <c r="O756" s="29"/>
    </row>
    <row r="757">
      <c r="I757" s="27"/>
      <c r="J757" s="27"/>
      <c r="K757" s="27"/>
      <c r="L757" s="27"/>
      <c r="M757" s="28"/>
      <c r="N757" s="28"/>
      <c r="O757" s="29"/>
    </row>
    <row r="758">
      <c r="I758" s="27"/>
      <c r="J758" s="27"/>
      <c r="K758" s="27"/>
      <c r="L758" s="27"/>
      <c r="M758" s="28"/>
      <c r="N758" s="28"/>
      <c r="O758" s="29"/>
    </row>
    <row r="759">
      <c r="I759" s="27"/>
      <c r="J759" s="27"/>
      <c r="K759" s="27"/>
      <c r="L759" s="27"/>
      <c r="M759" s="28"/>
      <c r="N759" s="28"/>
      <c r="O759" s="29"/>
    </row>
    <row r="760">
      <c r="I760" s="27"/>
      <c r="J760" s="27"/>
      <c r="K760" s="27"/>
      <c r="L760" s="27"/>
      <c r="M760" s="28"/>
      <c r="N760" s="28"/>
      <c r="O760" s="29"/>
    </row>
    <row r="761">
      <c r="I761" s="27"/>
      <c r="J761" s="27"/>
      <c r="K761" s="27"/>
      <c r="L761" s="27"/>
      <c r="M761" s="28"/>
      <c r="N761" s="28"/>
      <c r="O761" s="29"/>
    </row>
    <row r="762">
      <c r="I762" s="27"/>
      <c r="J762" s="27"/>
      <c r="K762" s="27"/>
      <c r="L762" s="27"/>
      <c r="M762" s="28"/>
      <c r="N762" s="28"/>
      <c r="O762" s="29"/>
    </row>
    <row r="763">
      <c r="I763" s="27"/>
      <c r="J763" s="27"/>
      <c r="K763" s="27"/>
      <c r="L763" s="27"/>
      <c r="M763" s="28"/>
      <c r="N763" s="28"/>
      <c r="O763" s="29"/>
    </row>
    <row r="764">
      <c r="I764" s="27"/>
      <c r="J764" s="27"/>
      <c r="K764" s="27"/>
      <c r="L764" s="27"/>
      <c r="M764" s="28"/>
      <c r="N764" s="28"/>
      <c r="O764" s="29"/>
    </row>
    <row r="765">
      <c r="I765" s="27"/>
      <c r="J765" s="27"/>
      <c r="K765" s="27"/>
      <c r="L765" s="27"/>
      <c r="M765" s="28"/>
      <c r="N765" s="28"/>
      <c r="O765" s="29"/>
    </row>
    <row r="766">
      <c r="I766" s="27"/>
      <c r="J766" s="27"/>
      <c r="K766" s="27"/>
      <c r="L766" s="27"/>
      <c r="M766" s="28"/>
      <c r="N766" s="28"/>
      <c r="O766" s="29"/>
    </row>
    <row r="767">
      <c r="I767" s="27"/>
      <c r="J767" s="27"/>
      <c r="K767" s="27"/>
      <c r="L767" s="27"/>
      <c r="M767" s="28"/>
      <c r="N767" s="28"/>
      <c r="O767" s="29"/>
    </row>
    <row r="768">
      <c r="I768" s="27"/>
      <c r="J768" s="27"/>
      <c r="K768" s="27"/>
      <c r="L768" s="27"/>
      <c r="M768" s="28"/>
      <c r="N768" s="28"/>
      <c r="O768" s="29"/>
    </row>
    <row r="769">
      <c r="I769" s="27"/>
      <c r="J769" s="27"/>
      <c r="K769" s="27"/>
      <c r="L769" s="27"/>
      <c r="M769" s="28"/>
      <c r="N769" s="28"/>
      <c r="O769" s="29"/>
    </row>
    <row r="770">
      <c r="I770" s="27"/>
      <c r="J770" s="27"/>
      <c r="K770" s="27"/>
      <c r="L770" s="27"/>
      <c r="M770" s="28"/>
      <c r="N770" s="28"/>
      <c r="O770" s="29"/>
    </row>
    <row r="771">
      <c r="I771" s="27"/>
      <c r="J771" s="27"/>
      <c r="K771" s="27"/>
      <c r="L771" s="27"/>
      <c r="M771" s="28"/>
      <c r="N771" s="28"/>
      <c r="O771" s="29"/>
    </row>
    <row r="772">
      <c r="I772" s="27"/>
      <c r="J772" s="27"/>
      <c r="K772" s="27"/>
      <c r="L772" s="27"/>
      <c r="M772" s="28"/>
      <c r="N772" s="28"/>
      <c r="O772" s="29"/>
    </row>
    <row r="773">
      <c r="I773" s="27"/>
      <c r="J773" s="27"/>
      <c r="K773" s="27"/>
      <c r="L773" s="27"/>
      <c r="M773" s="28"/>
      <c r="N773" s="28"/>
      <c r="O773" s="29"/>
    </row>
    <row r="774">
      <c r="I774" s="27"/>
      <c r="J774" s="27"/>
      <c r="K774" s="27"/>
      <c r="L774" s="27"/>
      <c r="M774" s="28"/>
      <c r="N774" s="28"/>
      <c r="O774" s="29"/>
    </row>
    <row r="775">
      <c r="I775" s="27"/>
      <c r="J775" s="27"/>
      <c r="K775" s="27"/>
      <c r="L775" s="27"/>
      <c r="M775" s="28"/>
      <c r="N775" s="28"/>
      <c r="O775" s="29"/>
    </row>
    <row r="776">
      <c r="I776" s="27"/>
      <c r="J776" s="27"/>
      <c r="K776" s="27"/>
      <c r="L776" s="27"/>
      <c r="M776" s="28"/>
      <c r="N776" s="28"/>
      <c r="O776" s="29"/>
    </row>
    <row r="777">
      <c r="I777" s="27"/>
      <c r="J777" s="27"/>
      <c r="K777" s="27"/>
      <c r="L777" s="27"/>
      <c r="M777" s="28"/>
      <c r="N777" s="28"/>
      <c r="O777" s="29"/>
    </row>
    <row r="778">
      <c r="I778" s="27"/>
      <c r="J778" s="27"/>
      <c r="K778" s="27"/>
      <c r="L778" s="27"/>
      <c r="M778" s="28"/>
      <c r="N778" s="28"/>
      <c r="O778" s="29"/>
    </row>
    <row r="779">
      <c r="I779" s="27"/>
      <c r="J779" s="27"/>
      <c r="K779" s="27"/>
      <c r="L779" s="27"/>
      <c r="M779" s="28"/>
      <c r="N779" s="28"/>
      <c r="O779" s="29"/>
    </row>
    <row r="780">
      <c r="I780" s="27"/>
      <c r="J780" s="27"/>
      <c r="K780" s="27"/>
      <c r="L780" s="27"/>
      <c r="M780" s="28"/>
      <c r="N780" s="28"/>
      <c r="O780" s="29"/>
    </row>
    <row r="781">
      <c r="I781" s="27"/>
      <c r="J781" s="27"/>
      <c r="K781" s="27"/>
      <c r="L781" s="27"/>
      <c r="M781" s="28"/>
      <c r="N781" s="28"/>
      <c r="O781" s="29"/>
    </row>
    <row r="782">
      <c r="I782" s="27"/>
      <c r="J782" s="27"/>
      <c r="K782" s="27"/>
      <c r="L782" s="27"/>
      <c r="M782" s="28"/>
      <c r="N782" s="28"/>
      <c r="O782" s="29"/>
    </row>
    <row r="783">
      <c r="I783" s="27"/>
      <c r="J783" s="27"/>
      <c r="K783" s="27"/>
      <c r="L783" s="27"/>
      <c r="M783" s="28"/>
      <c r="N783" s="28"/>
      <c r="O783" s="29"/>
    </row>
    <row r="784">
      <c r="I784" s="27"/>
      <c r="J784" s="27"/>
      <c r="K784" s="27"/>
      <c r="L784" s="27"/>
      <c r="M784" s="28"/>
      <c r="N784" s="28"/>
      <c r="O784" s="29"/>
    </row>
    <row r="785">
      <c r="I785" s="27"/>
      <c r="J785" s="27"/>
      <c r="K785" s="27"/>
      <c r="L785" s="27"/>
      <c r="M785" s="28"/>
      <c r="N785" s="28"/>
      <c r="O785" s="29"/>
    </row>
    <row r="786">
      <c r="I786" s="27"/>
      <c r="J786" s="27"/>
      <c r="K786" s="27"/>
      <c r="L786" s="27"/>
      <c r="M786" s="28"/>
      <c r="N786" s="28"/>
      <c r="O786" s="29"/>
    </row>
    <row r="787">
      <c r="I787" s="27"/>
      <c r="J787" s="27"/>
      <c r="K787" s="27"/>
      <c r="L787" s="27"/>
      <c r="M787" s="28"/>
      <c r="N787" s="28"/>
      <c r="O787" s="29"/>
    </row>
    <row r="788">
      <c r="I788" s="27"/>
      <c r="J788" s="27"/>
      <c r="K788" s="27"/>
      <c r="L788" s="27"/>
      <c r="M788" s="28"/>
      <c r="N788" s="28"/>
      <c r="O788" s="29"/>
    </row>
    <row r="789">
      <c r="I789" s="27"/>
      <c r="J789" s="27"/>
      <c r="K789" s="27"/>
      <c r="L789" s="27"/>
      <c r="M789" s="28"/>
      <c r="N789" s="28"/>
      <c r="O789" s="29"/>
    </row>
    <row r="790">
      <c r="I790" s="27"/>
      <c r="J790" s="27"/>
      <c r="K790" s="27"/>
      <c r="L790" s="27"/>
      <c r="M790" s="28"/>
      <c r="N790" s="28"/>
      <c r="O790" s="29"/>
    </row>
    <row r="791">
      <c r="I791" s="27"/>
      <c r="J791" s="27"/>
      <c r="K791" s="27"/>
      <c r="L791" s="27"/>
      <c r="M791" s="28"/>
      <c r="N791" s="28"/>
      <c r="O791" s="29"/>
    </row>
    <row r="792">
      <c r="I792" s="27"/>
      <c r="J792" s="27"/>
      <c r="K792" s="27"/>
      <c r="L792" s="27"/>
      <c r="M792" s="28"/>
      <c r="N792" s="28"/>
      <c r="O792" s="29"/>
    </row>
    <row r="793">
      <c r="I793" s="27"/>
      <c r="J793" s="27"/>
      <c r="K793" s="27"/>
      <c r="L793" s="27"/>
      <c r="M793" s="28"/>
      <c r="N793" s="28"/>
      <c r="O793" s="29"/>
    </row>
    <row r="794">
      <c r="I794" s="27"/>
      <c r="J794" s="27"/>
      <c r="K794" s="27"/>
      <c r="L794" s="27"/>
      <c r="M794" s="28"/>
      <c r="N794" s="28"/>
      <c r="O794" s="29"/>
    </row>
    <row r="795">
      <c r="I795" s="27"/>
      <c r="J795" s="27"/>
      <c r="K795" s="27"/>
      <c r="L795" s="27"/>
      <c r="M795" s="28"/>
      <c r="N795" s="28"/>
      <c r="O795" s="29"/>
    </row>
    <row r="796">
      <c r="I796" s="27"/>
      <c r="J796" s="27"/>
      <c r="K796" s="27"/>
      <c r="L796" s="27"/>
      <c r="M796" s="28"/>
      <c r="N796" s="28"/>
      <c r="O796" s="29"/>
    </row>
    <row r="797">
      <c r="I797" s="27"/>
      <c r="J797" s="27"/>
      <c r="K797" s="27"/>
      <c r="L797" s="27"/>
      <c r="M797" s="28"/>
      <c r="N797" s="28"/>
      <c r="O797" s="29"/>
    </row>
    <row r="798">
      <c r="I798" s="27"/>
      <c r="J798" s="27"/>
      <c r="K798" s="27"/>
      <c r="L798" s="27"/>
      <c r="M798" s="28"/>
      <c r="N798" s="28"/>
      <c r="O798" s="29"/>
    </row>
    <row r="799">
      <c r="I799" s="27"/>
      <c r="J799" s="27"/>
      <c r="K799" s="27"/>
      <c r="L799" s="27"/>
      <c r="M799" s="28"/>
      <c r="N799" s="28"/>
      <c r="O799" s="29"/>
    </row>
    <row r="800">
      <c r="I800" s="27"/>
      <c r="J800" s="27"/>
      <c r="K800" s="27"/>
      <c r="L800" s="27"/>
      <c r="M800" s="28"/>
      <c r="N800" s="28"/>
      <c r="O800" s="29"/>
    </row>
    <row r="801">
      <c r="I801" s="27"/>
      <c r="J801" s="27"/>
      <c r="K801" s="27"/>
      <c r="L801" s="27"/>
      <c r="M801" s="28"/>
      <c r="N801" s="28"/>
      <c r="O801" s="29"/>
    </row>
    <row r="802">
      <c r="I802" s="27"/>
      <c r="J802" s="27"/>
      <c r="K802" s="27"/>
      <c r="L802" s="27"/>
      <c r="M802" s="28"/>
      <c r="N802" s="28"/>
      <c r="O802" s="29"/>
    </row>
    <row r="803">
      <c r="I803" s="27"/>
      <c r="J803" s="27"/>
      <c r="K803" s="27"/>
      <c r="L803" s="27"/>
      <c r="M803" s="28"/>
      <c r="N803" s="28"/>
      <c r="O803" s="29"/>
    </row>
    <row r="804">
      <c r="I804" s="27"/>
      <c r="J804" s="27"/>
      <c r="K804" s="27"/>
      <c r="L804" s="27"/>
      <c r="M804" s="28"/>
      <c r="N804" s="28"/>
      <c r="O804" s="29"/>
    </row>
    <row r="805">
      <c r="I805" s="27"/>
      <c r="J805" s="27"/>
      <c r="K805" s="27"/>
      <c r="L805" s="27"/>
      <c r="M805" s="28"/>
      <c r="N805" s="28"/>
      <c r="O805" s="29"/>
    </row>
    <row r="806">
      <c r="I806" s="27"/>
      <c r="J806" s="27"/>
      <c r="K806" s="27"/>
      <c r="L806" s="27"/>
      <c r="M806" s="28"/>
      <c r="N806" s="28"/>
      <c r="O806" s="29"/>
    </row>
    <row r="807">
      <c r="I807" s="27"/>
      <c r="J807" s="27"/>
      <c r="K807" s="27"/>
      <c r="L807" s="27"/>
      <c r="M807" s="28"/>
      <c r="N807" s="28"/>
      <c r="O807" s="29"/>
    </row>
    <row r="808">
      <c r="I808" s="27"/>
      <c r="J808" s="27"/>
      <c r="K808" s="27"/>
      <c r="L808" s="27"/>
      <c r="M808" s="28"/>
      <c r="N808" s="28"/>
      <c r="O808" s="29"/>
    </row>
    <row r="809">
      <c r="I809" s="27"/>
      <c r="J809" s="27"/>
      <c r="K809" s="27"/>
      <c r="L809" s="27"/>
      <c r="M809" s="28"/>
      <c r="N809" s="28"/>
      <c r="O809" s="29"/>
    </row>
    <row r="810">
      <c r="I810" s="27"/>
      <c r="J810" s="27"/>
      <c r="K810" s="27"/>
      <c r="L810" s="27"/>
      <c r="M810" s="28"/>
      <c r="N810" s="28"/>
      <c r="O810" s="29"/>
    </row>
    <row r="811">
      <c r="I811" s="27"/>
      <c r="J811" s="27"/>
      <c r="K811" s="27"/>
      <c r="L811" s="27"/>
      <c r="M811" s="28"/>
      <c r="N811" s="28"/>
      <c r="O811" s="29"/>
    </row>
    <row r="812">
      <c r="I812" s="27"/>
      <c r="J812" s="27"/>
      <c r="K812" s="27"/>
      <c r="L812" s="27"/>
      <c r="M812" s="28"/>
      <c r="N812" s="28"/>
      <c r="O812" s="29"/>
    </row>
    <row r="813">
      <c r="I813" s="27"/>
      <c r="J813" s="27"/>
      <c r="K813" s="27"/>
      <c r="L813" s="27"/>
      <c r="M813" s="28"/>
      <c r="N813" s="28"/>
      <c r="O813" s="29"/>
    </row>
    <row r="814">
      <c r="I814" s="27"/>
      <c r="J814" s="27"/>
      <c r="K814" s="27"/>
      <c r="L814" s="27"/>
      <c r="M814" s="28"/>
      <c r="N814" s="28"/>
      <c r="O814" s="29"/>
    </row>
    <row r="815">
      <c r="I815" s="27"/>
      <c r="J815" s="27"/>
      <c r="K815" s="27"/>
      <c r="L815" s="27"/>
      <c r="M815" s="28"/>
      <c r="N815" s="28"/>
      <c r="O815" s="29"/>
    </row>
    <row r="816">
      <c r="I816" s="27"/>
      <c r="J816" s="27"/>
      <c r="K816" s="27"/>
      <c r="L816" s="27"/>
      <c r="M816" s="28"/>
      <c r="N816" s="28"/>
      <c r="O816" s="29"/>
    </row>
    <row r="817">
      <c r="I817" s="27"/>
      <c r="J817" s="27"/>
      <c r="K817" s="27"/>
      <c r="L817" s="27"/>
      <c r="M817" s="28"/>
      <c r="N817" s="28"/>
      <c r="O817" s="29"/>
    </row>
    <row r="818">
      <c r="I818" s="27"/>
      <c r="J818" s="27"/>
      <c r="K818" s="27"/>
      <c r="L818" s="27"/>
      <c r="M818" s="28"/>
      <c r="N818" s="28"/>
      <c r="O818" s="29"/>
    </row>
    <row r="819">
      <c r="I819" s="27"/>
      <c r="J819" s="27"/>
      <c r="K819" s="27"/>
      <c r="L819" s="27"/>
      <c r="M819" s="28"/>
      <c r="N819" s="28"/>
      <c r="O819" s="29"/>
    </row>
    <row r="820">
      <c r="I820" s="27"/>
      <c r="J820" s="27"/>
      <c r="K820" s="27"/>
      <c r="L820" s="27"/>
      <c r="M820" s="28"/>
      <c r="N820" s="28"/>
      <c r="O820" s="29"/>
    </row>
    <row r="821">
      <c r="I821" s="27"/>
      <c r="J821" s="27"/>
      <c r="K821" s="27"/>
      <c r="L821" s="27"/>
      <c r="M821" s="28"/>
      <c r="N821" s="28"/>
      <c r="O821" s="29"/>
    </row>
    <row r="822">
      <c r="I822" s="27"/>
      <c r="J822" s="27"/>
      <c r="K822" s="27"/>
      <c r="L822" s="27"/>
      <c r="M822" s="28"/>
      <c r="N822" s="28"/>
      <c r="O822" s="29"/>
    </row>
    <row r="823">
      <c r="I823" s="27"/>
      <c r="J823" s="27"/>
      <c r="K823" s="27"/>
      <c r="L823" s="27"/>
      <c r="M823" s="28"/>
      <c r="N823" s="28"/>
      <c r="O823" s="29"/>
    </row>
    <row r="824">
      <c r="I824" s="27"/>
      <c r="J824" s="27"/>
      <c r="K824" s="27"/>
      <c r="L824" s="27"/>
      <c r="M824" s="28"/>
      <c r="N824" s="28"/>
      <c r="O824" s="29"/>
    </row>
    <row r="825">
      <c r="I825" s="27"/>
      <c r="J825" s="27"/>
      <c r="K825" s="27"/>
      <c r="L825" s="27"/>
      <c r="M825" s="28"/>
      <c r="N825" s="28"/>
      <c r="O825" s="29"/>
    </row>
    <row r="826">
      <c r="I826" s="27"/>
      <c r="J826" s="27"/>
      <c r="K826" s="27"/>
      <c r="L826" s="27"/>
      <c r="M826" s="28"/>
      <c r="N826" s="28"/>
      <c r="O826" s="29"/>
    </row>
    <row r="827">
      <c r="I827" s="27"/>
      <c r="J827" s="27"/>
      <c r="K827" s="27"/>
      <c r="L827" s="27"/>
      <c r="M827" s="28"/>
      <c r="N827" s="28"/>
      <c r="O827" s="29"/>
    </row>
    <row r="828">
      <c r="I828" s="27"/>
      <c r="J828" s="27"/>
      <c r="K828" s="27"/>
      <c r="L828" s="27"/>
      <c r="M828" s="28"/>
      <c r="N828" s="28"/>
      <c r="O828" s="29"/>
    </row>
    <row r="829">
      <c r="I829" s="27"/>
      <c r="J829" s="27"/>
      <c r="K829" s="27"/>
      <c r="L829" s="27"/>
      <c r="M829" s="28"/>
      <c r="N829" s="28"/>
      <c r="O829" s="29"/>
    </row>
    <row r="830">
      <c r="I830" s="27"/>
      <c r="J830" s="27"/>
      <c r="K830" s="27"/>
      <c r="L830" s="27"/>
      <c r="M830" s="28"/>
      <c r="N830" s="28"/>
      <c r="O830" s="29"/>
    </row>
    <row r="831">
      <c r="I831" s="27"/>
      <c r="J831" s="27"/>
      <c r="K831" s="27"/>
      <c r="L831" s="27"/>
      <c r="M831" s="28"/>
      <c r="N831" s="28"/>
      <c r="O831" s="29"/>
    </row>
    <row r="832">
      <c r="I832" s="27"/>
      <c r="J832" s="27"/>
      <c r="K832" s="27"/>
      <c r="L832" s="27"/>
      <c r="M832" s="28"/>
      <c r="N832" s="28"/>
      <c r="O832" s="29"/>
    </row>
    <row r="833">
      <c r="I833" s="27"/>
      <c r="J833" s="27"/>
      <c r="K833" s="27"/>
      <c r="L833" s="27"/>
      <c r="M833" s="28"/>
      <c r="N833" s="28"/>
      <c r="O833" s="29"/>
    </row>
    <row r="834">
      <c r="I834" s="27"/>
      <c r="J834" s="27"/>
      <c r="K834" s="27"/>
      <c r="L834" s="27"/>
      <c r="M834" s="28"/>
      <c r="N834" s="28"/>
      <c r="O834" s="29"/>
    </row>
    <row r="835">
      <c r="I835" s="27"/>
      <c r="J835" s="27"/>
      <c r="K835" s="27"/>
      <c r="L835" s="27"/>
      <c r="M835" s="28"/>
      <c r="N835" s="28"/>
      <c r="O835" s="29"/>
    </row>
    <row r="836">
      <c r="I836" s="27"/>
      <c r="J836" s="27"/>
      <c r="K836" s="27"/>
      <c r="L836" s="27"/>
      <c r="M836" s="28"/>
      <c r="N836" s="28"/>
      <c r="O836" s="29"/>
    </row>
    <row r="837">
      <c r="I837" s="27"/>
      <c r="J837" s="27"/>
      <c r="K837" s="27"/>
      <c r="L837" s="27"/>
      <c r="M837" s="28"/>
      <c r="N837" s="28"/>
      <c r="O837" s="29"/>
    </row>
    <row r="838">
      <c r="I838" s="27"/>
      <c r="J838" s="27"/>
      <c r="K838" s="27"/>
      <c r="L838" s="27"/>
      <c r="M838" s="28"/>
      <c r="N838" s="28"/>
      <c r="O838" s="29"/>
    </row>
    <row r="839">
      <c r="I839" s="27"/>
      <c r="J839" s="27"/>
      <c r="K839" s="27"/>
      <c r="L839" s="27"/>
      <c r="M839" s="28"/>
      <c r="N839" s="28"/>
      <c r="O839" s="29"/>
    </row>
    <row r="840">
      <c r="I840" s="27"/>
      <c r="J840" s="27"/>
      <c r="K840" s="27"/>
      <c r="L840" s="27"/>
      <c r="M840" s="28"/>
      <c r="N840" s="28"/>
      <c r="O840" s="29"/>
    </row>
    <row r="841">
      <c r="I841" s="27"/>
      <c r="J841" s="27"/>
      <c r="K841" s="27"/>
      <c r="L841" s="27"/>
      <c r="M841" s="28"/>
      <c r="N841" s="28"/>
      <c r="O841" s="29"/>
    </row>
    <row r="842">
      <c r="I842" s="27"/>
      <c r="J842" s="27"/>
      <c r="K842" s="27"/>
      <c r="L842" s="27"/>
      <c r="M842" s="28"/>
      <c r="N842" s="28"/>
      <c r="O842" s="29"/>
    </row>
    <row r="843">
      <c r="I843" s="27"/>
      <c r="J843" s="27"/>
      <c r="K843" s="27"/>
      <c r="L843" s="27"/>
      <c r="M843" s="28"/>
      <c r="N843" s="28"/>
      <c r="O843" s="29"/>
    </row>
    <row r="844">
      <c r="I844" s="27"/>
      <c r="J844" s="27"/>
      <c r="K844" s="27"/>
      <c r="L844" s="27"/>
      <c r="M844" s="28"/>
      <c r="N844" s="28"/>
      <c r="O844" s="29"/>
    </row>
    <row r="845">
      <c r="I845" s="27"/>
      <c r="J845" s="27"/>
      <c r="K845" s="27"/>
      <c r="L845" s="27"/>
      <c r="M845" s="28"/>
      <c r="N845" s="28"/>
      <c r="O845" s="29"/>
    </row>
    <row r="846">
      <c r="I846" s="27"/>
      <c r="J846" s="27"/>
      <c r="K846" s="27"/>
      <c r="L846" s="27"/>
      <c r="M846" s="28"/>
      <c r="N846" s="28"/>
      <c r="O846" s="29"/>
    </row>
    <row r="847">
      <c r="I847" s="27"/>
      <c r="J847" s="27"/>
      <c r="K847" s="27"/>
      <c r="L847" s="27"/>
      <c r="M847" s="28"/>
      <c r="N847" s="28"/>
      <c r="O847" s="29"/>
    </row>
    <row r="848">
      <c r="I848" s="27"/>
      <c r="J848" s="27"/>
      <c r="K848" s="27"/>
      <c r="L848" s="27"/>
      <c r="M848" s="28"/>
      <c r="N848" s="28"/>
      <c r="O848" s="29"/>
    </row>
    <row r="849">
      <c r="I849" s="27"/>
      <c r="J849" s="27"/>
      <c r="K849" s="27"/>
      <c r="L849" s="27"/>
      <c r="M849" s="28"/>
      <c r="N849" s="28"/>
      <c r="O849" s="29"/>
    </row>
    <row r="850">
      <c r="I850" s="27"/>
      <c r="J850" s="27"/>
      <c r="K850" s="27"/>
      <c r="L850" s="27"/>
      <c r="M850" s="28"/>
      <c r="N850" s="28"/>
      <c r="O850" s="29"/>
    </row>
    <row r="851">
      <c r="I851" s="27"/>
      <c r="J851" s="27"/>
      <c r="K851" s="27"/>
      <c r="L851" s="27"/>
      <c r="M851" s="28"/>
      <c r="N851" s="28"/>
      <c r="O851" s="29"/>
    </row>
    <row r="852">
      <c r="I852" s="27"/>
      <c r="J852" s="27"/>
      <c r="K852" s="27"/>
      <c r="L852" s="27"/>
      <c r="M852" s="28"/>
      <c r="N852" s="28"/>
      <c r="O852" s="29"/>
    </row>
    <row r="853">
      <c r="I853" s="27"/>
      <c r="J853" s="27"/>
      <c r="K853" s="27"/>
      <c r="L853" s="27"/>
      <c r="M853" s="28"/>
      <c r="N853" s="28"/>
      <c r="O853" s="29"/>
    </row>
    <row r="854">
      <c r="I854" s="27"/>
      <c r="J854" s="27"/>
      <c r="K854" s="27"/>
      <c r="L854" s="27"/>
      <c r="M854" s="28"/>
      <c r="N854" s="28"/>
      <c r="O854" s="29"/>
    </row>
    <row r="855">
      <c r="I855" s="27"/>
      <c r="J855" s="27"/>
      <c r="K855" s="27"/>
      <c r="L855" s="27"/>
      <c r="M855" s="28"/>
      <c r="N855" s="28"/>
      <c r="O855" s="29"/>
    </row>
    <row r="856">
      <c r="I856" s="27"/>
      <c r="J856" s="27"/>
      <c r="K856" s="27"/>
      <c r="L856" s="27"/>
      <c r="M856" s="28"/>
      <c r="N856" s="28"/>
      <c r="O856" s="29"/>
    </row>
    <row r="857">
      <c r="I857" s="27"/>
      <c r="J857" s="27"/>
      <c r="K857" s="27"/>
      <c r="L857" s="27"/>
      <c r="M857" s="28"/>
      <c r="N857" s="28"/>
      <c r="O857" s="29"/>
    </row>
    <row r="858">
      <c r="I858" s="27"/>
      <c r="J858" s="27"/>
      <c r="K858" s="27"/>
      <c r="L858" s="27"/>
      <c r="M858" s="28"/>
      <c r="N858" s="28"/>
      <c r="O858" s="29"/>
    </row>
    <row r="859">
      <c r="I859" s="27"/>
      <c r="J859" s="27"/>
      <c r="K859" s="27"/>
      <c r="L859" s="27"/>
      <c r="M859" s="28"/>
      <c r="N859" s="28"/>
      <c r="O859" s="29"/>
    </row>
    <row r="860">
      <c r="I860" s="27"/>
      <c r="J860" s="27"/>
      <c r="K860" s="27"/>
      <c r="L860" s="27"/>
      <c r="M860" s="28"/>
      <c r="N860" s="28"/>
      <c r="O860" s="29"/>
    </row>
    <row r="861">
      <c r="I861" s="27"/>
      <c r="J861" s="27"/>
      <c r="K861" s="27"/>
      <c r="L861" s="27"/>
      <c r="M861" s="28"/>
      <c r="N861" s="28"/>
      <c r="O861" s="29"/>
    </row>
    <row r="862">
      <c r="I862" s="27"/>
      <c r="J862" s="27"/>
      <c r="K862" s="27"/>
      <c r="L862" s="27"/>
      <c r="M862" s="28"/>
      <c r="N862" s="28"/>
      <c r="O862" s="29"/>
    </row>
    <row r="863">
      <c r="I863" s="27"/>
      <c r="J863" s="27"/>
      <c r="K863" s="27"/>
      <c r="L863" s="27"/>
      <c r="M863" s="28"/>
      <c r="N863" s="28"/>
      <c r="O863" s="29"/>
    </row>
    <row r="864">
      <c r="I864" s="27"/>
      <c r="J864" s="27"/>
      <c r="K864" s="27"/>
      <c r="L864" s="27"/>
      <c r="M864" s="28"/>
      <c r="N864" s="28"/>
      <c r="O864" s="29"/>
    </row>
    <row r="865">
      <c r="I865" s="27"/>
      <c r="J865" s="27"/>
      <c r="K865" s="27"/>
      <c r="L865" s="27"/>
      <c r="M865" s="28"/>
      <c r="N865" s="28"/>
      <c r="O865" s="29"/>
    </row>
    <row r="866">
      <c r="I866" s="27"/>
      <c r="J866" s="27"/>
      <c r="K866" s="27"/>
      <c r="L866" s="27"/>
      <c r="M866" s="28"/>
      <c r="N866" s="28"/>
      <c r="O866" s="29"/>
    </row>
    <row r="867">
      <c r="I867" s="27"/>
      <c r="J867" s="27"/>
      <c r="K867" s="27"/>
      <c r="L867" s="27"/>
      <c r="M867" s="28"/>
      <c r="N867" s="28"/>
      <c r="O867" s="29"/>
    </row>
    <row r="868">
      <c r="I868" s="27"/>
      <c r="J868" s="27"/>
      <c r="K868" s="27"/>
      <c r="L868" s="27"/>
      <c r="M868" s="28"/>
      <c r="N868" s="28"/>
      <c r="O868" s="29"/>
    </row>
    <row r="869">
      <c r="I869" s="27"/>
      <c r="J869" s="27"/>
      <c r="K869" s="27"/>
      <c r="L869" s="27"/>
      <c r="M869" s="28"/>
      <c r="N869" s="28"/>
      <c r="O869" s="29"/>
    </row>
    <row r="870">
      <c r="I870" s="27"/>
      <c r="J870" s="27"/>
      <c r="K870" s="27"/>
      <c r="L870" s="27"/>
      <c r="M870" s="28"/>
      <c r="N870" s="28"/>
      <c r="O870" s="29"/>
    </row>
    <row r="871">
      <c r="I871" s="27"/>
      <c r="J871" s="27"/>
      <c r="K871" s="27"/>
      <c r="L871" s="27"/>
      <c r="M871" s="28"/>
      <c r="N871" s="28"/>
      <c r="O871" s="29"/>
    </row>
    <row r="872">
      <c r="I872" s="27"/>
      <c r="J872" s="27"/>
      <c r="K872" s="27"/>
      <c r="L872" s="27"/>
      <c r="M872" s="28"/>
      <c r="N872" s="28"/>
      <c r="O872" s="29"/>
    </row>
    <row r="873">
      <c r="I873" s="27"/>
      <c r="J873" s="27"/>
      <c r="K873" s="27"/>
      <c r="L873" s="27"/>
      <c r="M873" s="28"/>
      <c r="N873" s="28"/>
      <c r="O873" s="29"/>
    </row>
    <row r="874">
      <c r="I874" s="27"/>
      <c r="J874" s="27"/>
      <c r="K874" s="27"/>
      <c r="L874" s="27"/>
      <c r="M874" s="28"/>
      <c r="N874" s="28"/>
      <c r="O874" s="29"/>
    </row>
    <row r="875">
      <c r="I875" s="27"/>
      <c r="J875" s="27"/>
      <c r="K875" s="27"/>
      <c r="L875" s="27"/>
      <c r="M875" s="28"/>
      <c r="N875" s="28"/>
      <c r="O875" s="29"/>
    </row>
    <row r="876">
      <c r="I876" s="27"/>
      <c r="J876" s="27"/>
      <c r="K876" s="27"/>
      <c r="L876" s="27"/>
      <c r="M876" s="28"/>
      <c r="N876" s="28"/>
      <c r="O876" s="29"/>
    </row>
    <row r="877">
      <c r="I877" s="27"/>
      <c r="J877" s="27"/>
      <c r="K877" s="27"/>
      <c r="L877" s="27"/>
      <c r="M877" s="28"/>
      <c r="N877" s="28"/>
      <c r="O877" s="29"/>
    </row>
    <row r="878">
      <c r="I878" s="27"/>
      <c r="J878" s="27"/>
      <c r="K878" s="27"/>
      <c r="L878" s="27"/>
      <c r="M878" s="28"/>
      <c r="N878" s="28"/>
      <c r="O878" s="29"/>
    </row>
    <row r="879">
      <c r="I879" s="27"/>
      <c r="J879" s="27"/>
      <c r="K879" s="27"/>
      <c r="L879" s="27"/>
      <c r="M879" s="28"/>
      <c r="N879" s="28"/>
      <c r="O879" s="29"/>
    </row>
    <row r="880">
      <c r="I880" s="27"/>
      <c r="J880" s="27"/>
      <c r="K880" s="27"/>
      <c r="L880" s="27"/>
      <c r="M880" s="28"/>
      <c r="N880" s="28"/>
      <c r="O880" s="29"/>
    </row>
    <row r="881">
      <c r="I881" s="27"/>
      <c r="J881" s="27"/>
      <c r="K881" s="27"/>
      <c r="L881" s="27"/>
      <c r="M881" s="28"/>
      <c r="N881" s="28"/>
      <c r="O881" s="29"/>
    </row>
    <row r="882">
      <c r="I882" s="27"/>
      <c r="J882" s="27"/>
      <c r="K882" s="27"/>
      <c r="L882" s="27"/>
      <c r="M882" s="28"/>
      <c r="N882" s="28"/>
      <c r="O882" s="29"/>
    </row>
    <row r="883">
      <c r="I883" s="27"/>
      <c r="J883" s="27"/>
      <c r="K883" s="27"/>
      <c r="L883" s="27"/>
      <c r="M883" s="28"/>
      <c r="N883" s="28"/>
      <c r="O883" s="29"/>
    </row>
    <row r="884">
      <c r="I884" s="27"/>
      <c r="J884" s="27"/>
      <c r="K884" s="27"/>
      <c r="L884" s="27"/>
      <c r="M884" s="28"/>
      <c r="N884" s="28"/>
      <c r="O884" s="29"/>
    </row>
    <row r="885">
      <c r="I885" s="27"/>
      <c r="J885" s="27"/>
      <c r="K885" s="27"/>
      <c r="L885" s="27"/>
      <c r="M885" s="28"/>
      <c r="N885" s="28"/>
      <c r="O885" s="29"/>
    </row>
    <row r="886">
      <c r="I886" s="27"/>
      <c r="J886" s="27"/>
      <c r="K886" s="27"/>
      <c r="L886" s="27"/>
      <c r="M886" s="28"/>
      <c r="N886" s="28"/>
      <c r="O886" s="29"/>
    </row>
    <row r="887">
      <c r="I887" s="27"/>
      <c r="J887" s="27"/>
      <c r="K887" s="27"/>
      <c r="L887" s="27"/>
      <c r="M887" s="28"/>
      <c r="N887" s="28"/>
      <c r="O887" s="29"/>
    </row>
    <row r="888">
      <c r="I888" s="27"/>
      <c r="J888" s="27"/>
      <c r="K888" s="27"/>
      <c r="L888" s="27"/>
      <c r="M888" s="28"/>
      <c r="N888" s="28"/>
      <c r="O888" s="29"/>
    </row>
    <row r="889">
      <c r="I889" s="27"/>
      <c r="J889" s="27"/>
      <c r="K889" s="27"/>
      <c r="L889" s="27"/>
      <c r="M889" s="28"/>
      <c r="N889" s="28"/>
      <c r="O889" s="29"/>
    </row>
    <row r="890">
      <c r="I890" s="27"/>
      <c r="J890" s="27"/>
      <c r="K890" s="27"/>
      <c r="L890" s="27"/>
      <c r="M890" s="28"/>
      <c r="N890" s="28"/>
      <c r="O890" s="29"/>
    </row>
    <row r="891">
      <c r="I891" s="27"/>
      <c r="J891" s="27"/>
      <c r="K891" s="27"/>
      <c r="L891" s="27"/>
      <c r="M891" s="28"/>
      <c r="N891" s="28"/>
      <c r="O891" s="29"/>
    </row>
    <row r="892">
      <c r="I892" s="27"/>
      <c r="J892" s="27"/>
      <c r="K892" s="27"/>
      <c r="L892" s="27"/>
      <c r="M892" s="28"/>
      <c r="N892" s="28"/>
      <c r="O892" s="29"/>
    </row>
    <row r="893">
      <c r="I893" s="27"/>
      <c r="J893" s="27"/>
      <c r="K893" s="27"/>
      <c r="L893" s="27"/>
      <c r="M893" s="28"/>
      <c r="N893" s="28"/>
      <c r="O893" s="29"/>
    </row>
    <row r="894">
      <c r="I894" s="27"/>
      <c r="J894" s="27"/>
      <c r="K894" s="27"/>
      <c r="L894" s="27"/>
      <c r="M894" s="28"/>
      <c r="N894" s="28"/>
      <c r="O894" s="29"/>
    </row>
    <row r="895">
      <c r="I895" s="27"/>
      <c r="J895" s="27"/>
      <c r="K895" s="27"/>
      <c r="L895" s="27"/>
      <c r="M895" s="28"/>
      <c r="N895" s="28"/>
      <c r="O895" s="29"/>
    </row>
    <row r="896">
      <c r="I896" s="27"/>
      <c r="J896" s="27"/>
      <c r="K896" s="27"/>
      <c r="L896" s="27"/>
      <c r="M896" s="28"/>
      <c r="N896" s="28"/>
      <c r="O896" s="29"/>
    </row>
    <row r="897">
      <c r="I897" s="27"/>
      <c r="J897" s="27"/>
      <c r="K897" s="27"/>
      <c r="L897" s="27"/>
      <c r="M897" s="28"/>
      <c r="N897" s="28"/>
      <c r="O897" s="29"/>
    </row>
    <row r="898">
      <c r="I898" s="27"/>
      <c r="J898" s="27"/>
      <c r="K898" s="27"/>
      <c r="L898" s="27"/>
      <c r="M898" s="28"/>
      <c r="N898" s="28"/>
      <c r="O898" s="29"/>
    </row>
    <row r="899">
      <c r="I899" s="27"/>
      <c r="J899" s="27"/>
      <c r="K899" s="27"/>
      <c r="L899" s="27"/>
      <c r="M899" s="28"/>
      <c r="N899" s="28"/>
      <c r="O899" s="29"/>
    </row>
    <row r="900">
      <c r="I900" s="27"/>
      <c r="J900" s="27"/>
      <c r="K900" s="27"/>
      <c r="L900" s="27"/>
      <c r="M900" s="28"/>
      <c r="N900" s="28"/>
      <c r="O900" s="29"/>
    </row>
    <row r="901">
      <c r="I901" s="27"/>
      <c r="J901" s="27"/>
      <c r="K901" s="27"/>
      <c r="L901" s="27"/>
      <c r="M901" s="28"/>
      <c r="N901" s="28"/>
      <c r="O901" s="29"/>
    </row>
    <row r="902">
      <c r="I902" s="27"/>
      <c r="J902" s="27"/>
      <c r="K902" s="27"/>
      <c r="L902" s="27"/>
      <c r="M902" s="28"/>
      <c r="N902" s="28"/>
      <c r="O902" s="29"/>
    </row>
    <row r="903">
      <c r="I903" s="27"/>
      <c r="J903" s="27"/>
      <c r="K903" s="27"/>
      <c r="L903" s="27"/>
      <c r="M903" s="28"/>
      <c r="N903" s="28"/>
      <c r="O903" s="29"/>
    </row>
    <row r="904">
      <c r="I904" s="27"/>
      <c r="J904" s="27"/>
      <c r="K904" s="27"/>
      <c r="L904" s="27"/>
      <c r="M904" s="28"/>
      <c r="N904" s="28"/>
      <c r="O904" s="29"/>
    </row>
    <row r="905">
      <c r="I905" s="27"/>
      <c r="J905" s="27"/>
      <c r="K905" s="27"/>
      <c r="L905" s="27"/>
      <c r="M905" s="28"/>
      <c r="N905" s="28"/>
      <c r="O905" s="29"/>
    </row>
    <row r="906">
      <c r="I906" s="27"/>
      <c r="J906" s="27"/>
      <c r="K906" s="27"/>
      <c r="L906" s="27"/>
      <c r="M906" s="28"/>
      <c r="N906" s="28"/>
      <c r="O906" s="29"/>
    </row>
    <row r="907">
      <c r="I907" s="27"/>
      <c r="J907" s="27"/>
      <c r="K907" s="27"/>
      <c r="L907" s="27"/>
      <c r="M907" s="28"/>
      <c r="N907" s="28"/>
      <c r="O907" s="29"/>
    </row>
    <row r="908">
      <c r="I908" s="27"/>
      <c r="J908" s="27"/>
      <c r="K908" s="27"/>
      <c r="L908" s="27"/>
      <c r="M908" s="28"/>
      <c r="N908" s="28"/>
      <c r="O908" s="29"/>
    </row>
    <row r="909">
      <c r="I909" s="27"/>
      <c r="J909" s="27"/>
      <c r="K909" s="27"/>
      <c r="L909" s="27"/>
      <c r="M909" s="28"/>
      <c r="N909" s="28"/>
      <c r="O909" s="29"/>
    </row>
    <row r="910">
      <c r="I910" s="27"/>
      <c r="J910" s="27"/>
      <c r="K910" s="27"/>
      <c r="L910" s="27"/>
      <c r="M910" s="28"/>
      <c r="N910" s="28"/>
      <c r="O910" s="29"/>
    </row>
    <row r="911">
      <c r="I911" s="27"/>
      <c r="J911" s="27"/>
      <c r="K911" s="27"/>
      <c r="L911" s="27"/>
      <c r="M911" s="28"/>
      <c r="N911" s="28"/>
      <c r="O911" s="29"/>
    </row>
    <row r="912">
      <c r="I912" s="27"/>
      <c r="J912" s="27"/>
      <c r="K912" s="27"/>
      <c r="L912" s="27"/>
      <c r="M912" s="28"/>
      <c r="N912" s="28"/>
      <c r="O912" s="29"/>
    </row>
    <row r="913">
      <c r="I913" s="27"/>
      <c r="J913" s="27"/>
      <c r="K913" s="27"/>
      <c r="L913" s="27"/>
      <c r="M913" s="28"/>
      <c r="N913" s="28"/>
      <c r="O913" s="29"/>
    </row>
    <row r="914">
      <c r="I914" s="27"/>
      <c r="J914" s="27"/>
      <c r="K914" s="27"/>
      <c r="L914" s="27"/>
      <c r="M914" s="28"/>
      <c r="N914" s="28"/>
      <c r="O914" s="29"/>
    </row>
    <row r="915">
      <c r="I915" s="27"/>
      <c r="J915" s="27"/>
      <c r="K915" s="27"/>
      <c r="L915" s="27"/>
      <c r="M915" s="28"/>
      <c r="N915" s="28"/>
      <c r="O915" s="29"/>
    </row>
    <row r="916">
      <c r="I916" s="27"/>
      <c r="J916" s="27"/>
      <c r="K916" s="27"/>
      <c r="L916" s="27"/>
      <c r="M916" s="28"/>
      <c r="N916" s="28"/>
      <c r="O916" s="29"/>
    </row>
    <row r="917">
      <c r="I917" s="27"/>
      <c r="J917" s="27"/>
      <c r="K917" s="27"/>
      <c r="L917" s="27"/>
      <c r="M917" s="28"/>
      <c r="N917" s="28"/>
      <c r="O917" s="29"/>
    </row>
    <row r="918">
      <c r="I918" s="27"/>
      <c r="J918" s="27"/>
      <c r="K918" s="27"/>
      <c r="L918" s="27"/>
      <c r="M918" s="28"/>
      <c r="N918" s="28"/>
      <c r="O918" s="29"/>
    </row>
    <row r="919">
      <c r="I919" s="27"/>
      <c r="J919" s="27"/>
      <c r="K919" s="27"/>
      <c r="L919" s="27"/>
      <c r="M919" s="28"/>
      <c r="N919" s="28"/>
      <c r="O919" s="29"/>
    </row>
    <row r="920">
      <c r="I920" s="27"/>
      <c r="J920" s="27"/>
      <c r="K920" s="27"/>
      <c r="L920" s="27"/>
      <c r="M920" s="28"/>
      <c r="N920" s="28"/>
      <c r="O920" s="29"/>
    </row>
    <row r="921">
      <c r="I921" s="27"/>
      <c r="J921" s="27"/>
      <c r="K921" s="27"/>
      <c r="L921" s="27"/>
      <c r="M921" s="28"/>
      <c r="N921" s="28"/>
      <c r="O921" s="29"/>
    </row>
    <row r="922">
      <c r="I922" s="27"/>
      <c r="J922" s="27"/>
      <c r="K922" s="27"/>
      <c r="L922" s="27"/>
      <c r="M922" s="28"/>
      <c r="N922" s="28"/>
      <c r="O922" s="29"/>
    </row>
    <row r="923">
      <c r="I923" s="27"/>
      <c r="J923" s="27"/>
      <c r="K923" s="27"/>
      <c r="L923" s="27"/>
      <c r="M923" s="28"/>
      <c r="N923" s="28"/>
      <c r="O923" s="29"/>
    </row>
    <row r="924">
      <c r="I924" s="27"/>
      <c r="J924" s="27"/>
      <c r="K924" s="27"/>
      <c r="L924" s="27"/>
      <c r="M924" s="28"/>
      <c r="N924" s="28"/>
      <c r="O924" s="29"/>
    </row>
    <row r="925">
      <c r="I925" s="27"/>
      <c r="J925" s="27"/>
      <c r="K925" s="27"/>
      <c r="L925" s="27"/>
      <c r="M925" s="28"/>
      <c r="N925" s="28"/>
      <c r="O925" s="29"/>
    </row>
    <row r="926">
      <c r="I926" s="27"/>
      <c r="J926" s="27"/>
      <c r="K926" s="27"/>
      <c r="L926" s="27"/>
      <c r="M926" s="28"/>
      <c r="N926" s="28"/>
      <c r="O926" s="29"/>
    </row>
    <row r="927">
      <c r="I927" s="27"/>
      <c r="J927" s="27"/>
      <c r="K927" s="27"/>
      <c r="L927" s="27"/>
      <c r="M927" s="28"/>
      <c r="N927" s="28"/>
      <c r="O927" s="29"/>
    </row>
    <row r="928">
      <c r="I928" s="27"/>
      <c r="J928" s="27"/>
      <c r="K928" s="27"/>
      <c r="L928" s="27"/>
      <c r="M928" s="28"/>
      <c r="N928" s="28"/>
      <c r="O928" s="29"/>
    </row>
    <row r="929">
      <c r="I929" s="27"/>
      <c r="J929" s="27"/>
      <c r="K929" s="27"/>
      <c r="L929" s="27"/>
      <c r="M929" s="28"/>
      <c r="N929" s="28"/>
      <c r="O929" s="29"/>
    </row>
    <row r="930">
      <c r="I930" s="27"/>
      <c r="J930" s="27"/>
      <c r="K930" s="27"/>
      <c r="L930" s="27"/>
      <c r="M930" s="28"/>
      <c r="N930" s="28"/>
      <c r="O930" s="29"/>
    </row>
    <row r="931">
      <c r="I931" s="27"/>
      <c r="J931" s="27"/>
      <c r="K931" s="27"/>
      <c r="L931" s="27"/>
      <c r="M931" s="28"/>
      <c r="N931" s="28"/>
      <c r="O931" s="29"/>
    </row>
    <row r="932">
      <c r="I932" s="27"/>
      <c r="J932" s="27"/>
      <c r="K932" s="27"/>
      <c r="L932" s="27"/>
      <c r="M932" s="28"/>
      <c r="N932" s="28"/>
      <c r="O932" s="29"/>
    </row>
    <row r="933">
      <c r="I933" s="27"/>
      <c r="J933" s="27"/>
      <c r="K933" s="27"/>
      <c r="L933" s="27"/>
      <c r="M933" s="28"/>
      <c r="N933" s="28"/>
      <c r="O933" s="29"/>
    </row>
    <row r="934">
      <c r="I934" s="27"/>
      <c r="J934" s="27"/>
      <c r="K934" s="27"/>
      <c r="L934" s="27"/>
      <c r="M934" s="28"/>
      <c r="N934" s="28"/>
      <c r="O934" s="29"/>
    </row>
    <row r="935">
      <c r="I935" s="27"/>
      <c r="J935" s="27"/>
      <c r="K935" s="27"/>
      <c r="L935" s="27"/>
      <c r="M935" s="28"/>
      <c r="N935" s="28"/>
      <c r="O935" s="29"/>
    </row>
    <row r="936">
      <c r="I936" s="27"/>
      <c r="J936" s="27"/>
      <c r="K936" s="27"/>
      <c r="L936" s="27"/>
      <c r="M936" s="28"/>
      <c r="N936" s="28"/>
      <c r="O936" s="29"/>
    </row>
    <row r="937">
      <c r="I937" s="27"/>
      <c r="J937" s="27"/>
      <c r="K937" s="27"/>
      <c r="L937" s="27"/>
      <c r="M937" s="28"/>
      <c r="N937" s="28"/>
      <c r="O937" s="29"/>
    </row>
    <row r="938">
      <c r="I938" s="27"/>
      <c r="J938" s="27"/>
      <c r="K938" s="27"/>
      <c r="L938" s="27"/>
      <c r="M938" s="28"/>
      <c r="N938" s="28"/>
      <c r="O938" s="29"/>
    </row>
    <row r="939">
      <c r="I939" s="27"/>
      <c r="J939" s="27"/>
      <c r="K939" s="27"/>
      <c r="L939" s="27"/>
      <c r="M939" s="28"/>
      <c r="N939" s="28"/>
      <c r="O939" s="29"/>
    </row>
    <row r="940">
      <c r="I940" s="27"/>
      <c r="J940" s="27"/>
      <c r="K940" s="27"/>
      <c r="L940" s="27"/>
      <c r="M940" s="28"/>
      <c r="N940" s="28"/>
      <c r="O940" s="29"/>
    </row>
    <row r="941">
      <c r="I941" s="27"/>
      <c r="J941" s="27"/>
      <c r="K941" s="27"/>
      <c r="L941" s="27"/>
      <c r="M941" s="28"/>
      <c r="N941" s="28"/>
      <c r="O941" s="29"/>
    </row>
    <row r="942">
      <c r="I942" s="27"/>
      <c r="J942" s="27"/>
      <c r="K942" s="27"/>
      <c r="L942" s="27"/>
      <c r="M942" s="28"/>
      <c r="N942" s="28"/>
      <c r="O942" s="29"/>
    </row>
    <row r="943">
      <c r="I943" s="27"/>
      <c r="J943" s="27"/>
      <c r="K943" s="27"/>
      <c r="L943" s="27"/>
      <c r="M943" s="28"/>
      <c r="N943" s="28"/>
      <c r="O943" s="29"/>
    </row>
    <row r="944">
      <c r="I944" s="27"/>
      <c r="J944" s="27"/>
      <c r="K944" s="27"/>
      <c r="L944" s="27"/>
      <c r="M944" s="28"/>
      <c r="N944" s="28"/>
      <c r="O944" s="29"/>
    </row>
    <row r="945">
      <c r="I945" s="27"/>
      <c r="J945" s="27"/>
      <c r="K945" s="27"/>
      <c r="L945" s="27"/>
      <c r="M945" s="28"/>
      <c r="N945" s="28"/>
      <c r="O945" s="29"/>
    </row>
    <row r="946">
      <c r="I946" s="27"/>
      <c r="J946" s="27"/>
      <c r="K946" s="27"/>
      <c r="L946" s="27"/>
      <c r="M946" s="28"/>
      <c r="N946" s="28"/>
      <c r="O946" s="29"/>
    </row>
    <row r="947">
      <c r="I947" s="27"/>
      <c r="J947" s="27"/>
      <c r="K947" s="27"/>
      <c r="L947" s="27"/>
      <c r="M947" s="28"/>
      <c r="N947" s="28"/>
      <c r="O947" s="29"/>
    </row>
    <row r="948">
      <c r="I948" s="27"/>
      <c r="J948" s="27"/>
      <c r="K948" s="27"/>
      <c r="L948" s="27"/>
      <c r="M948" s="28"/>
      <c r="N948" s="28"/>
      <c r="O948" s="29"/>
    </row>
    <row r="949">
      <c r="I949" s="27"/>
      <c r="J949" s="27"/>
      <c r="K949" s="27"/>
      <c r="L949" s="27"/>
      <c r="M949" s="28"/>
      <c r="N949" s="28"/>
      <c r="O949" s="29"/>
    </row>
    <row r="950">
      <c r="I950" s="27"/>
      <c r="J950" s="27"/>
      <c r="K950" s="27"/>
      <c r="L950" s="27"/>
      <c r="M950" s="28"/>
      <c r="N950" s="28"/>
      <c r="O950" s="29"/>
    </row>
    <row r="951">
      <c r="I951" s="27"/>
      <c r="J951" s="27"/>
      <c r="K951" s="27"/>
      <c r="L951" s="27"/>
      <c r="M951" s="28"/>
      <c r="N951" s="28"/>
      <c r="O951" s="29"/>
    </row>
    <row r="952">
      <c r="I952" s="27"/>
      <c r="J952" s="27"/>
      <c r="K952" s="27"/>
      <c r="L952" s="27"/>
      <c r="M952" s="28"/>
      <c r="N952" s="28"/>
      <c r="O952" s="29"/>
    </row>
    <row r="953">
      <c r="I953" s="27"/>
      <c r="J953" s="27"/>
      <c r="K953" s="27"/>
      <c r="L953" s="27"/>
      <c r="M953" s="28"/>
      <c r="N953" s="28"/>
      <c r="O953" s="29"/>
    </row>
    <row r="954">
      <c r="I954" s="27"/>
      <c r="J954" s="27"/>
      <c r="K954" s="27"/>
      <c r="L954" s="27"/>
      <c r="M954" s="28"/>
      <c r="N954" s="28"/>
      <c r="O954" s="29"/>
    </row>
    <row r="955">
      <c r="I955" s="27"/>
      <c r="J955" s="27"/>
      <c r="K955" s="27"/>
      <c r="L955" s="27"/>
      <c r="M955" s="28"/>
      <c r="N955" s="28"/>
      <c r="O955" s="29"/>
    </row>
    <row r="956">
      <c r="I956" s="27"/>
      <c r="J956" s="27"/>
      <c r="K956" s="27"/>
      <c r="L956" s="27"/>
      <c r="M956" s="28"/>
      <c r="N956" s="28"/>
      <c r="O956" s="29"/>
    </row>
    <row r="957">
      <c r="I957" s="27"/>
      <c r="J957" s="27"/>
      <c r="K957" s="27"/>
      <c r="L957" s="27"/>
      <c r="M957" s="28"/>
      <c r="N957" s="28"/>
      <c r="O957" s="29"/>
    </row>
    <row r="958">
      <c r="I958" s="27"/>
      <c r="J958" s="27"/>
      <c r="K958" s="27"/>
      <c r="L958" s="27"/>
      <c r="M958" s="28"/>
      <c r="N958" s="28"/>
      <c r="O958" s="29"/>
    </row>
    <row r="959">
      <c r="I959" s="27"/>
      <c r="J959" s="27"/>
      <c r="K959" s="27"/>
      <c r="L959" s="27"/>
      <c r="M959" s="28"/>
      <c r="N959" s="28"/>
      <c r="O959" s="29"/>
    </row>
    <row r="960">
      <c r="I960" s="27"/>
      <c r="J960" s="27"/>
      <c r="K960" s="27"/>
      <c r="L960" s="27"/>
      <c r="M960" s="28"/>
      <c r="N960" s="28"/>
      <c r="O960" s="29"/>
    </row>
    <row r="961">
      <c r="I961" s="27"/>
      <c r="J961" s="27"/>
      <c r="K961" s="27"/>
      <c r="L961" s="27"/>
      <c r="M961" s="28"/>
      <c r="N961" s="28"/>
      <c r="O961" s="29"/>
    </row>
    <row r="962">
      <c r="I962" s="27"/>
      <c r="J962" s="27"/>
      <c r="K962" s="27"/>
      <c r="L962" s="27"/>
      <c r="M962" s="28"/>
      <c r="N962" s="28"/>
      <c r="O962" s="29"/>
    </row>
    <row r="963">
      <c r="I963" s="27"/>
      <c r="J963" s="27"/>
      <c r="K963" s="27"/>
      <c r="L963" s="27"/>
      <c r="M963" s="28"/>
      <c r="N963" s="28"/>
      <c r="O963" s="29"/>
    </row>
    <row r="964">
      <c r="I964" s="27"/>
      <c r="J964" s="27"/>
      <c r="K964" s="27"/>
      <c r="L964" s="27"/>
      <c r="M964" s="28"/>
      <c r="N964" s="28"/>
      <c r="O964" s="29"/>
    </row>
    <row r="965">
      <c r="I965" s="27"/>
      <c r="J965" s="27"/>
      <c r="K965" s="27"/>
      <c r="L965" s="27"/>
      <c r="M965" s="28"/>
      <c r="N965" s="28"/>
      <c r="O965" s="29"/>
    </row>
    <row r="966">
      <c r="I966" s="27"/>
      <c r="J966" s="27"/>
      <c r="K966" s="27"/>
      <c r="L966" s="27"/>
      <c r="M966" s="28"/>
      <c r="N966" s="28"/>
      <c r="O966" s="29"/>
    </row>
    <row r="967">
      <c r="I967" s="27"/>
      <c r="J967" s="27"/>
      <c r="K967" s="27"/>
      <c r="L967" s="27"/>
      <c r="M967" s="28"/>
      <c r="N967" s="28"/>
      <c r="O967" s="29"/>
    </row>
    <row r="968">
      <c r="I968" s="27"/>
      <c r="J968" s="27"/>
      <c r="K968" s="27"/>
      <c r="L968" s="27"/>
      <c r="M968" s="28"/>
      <c r="N968" s="28"/>
      <c r="O968" s="29"/>
    </row>
    <row r="969">
      <c r="I969" s="27"/>
      <c r="J969" s="27"/>
      <c r="K969" s="27"/>
      <c r="L969" s="27"/>
      <c r="M969" s="28"/>
      <c r="N969" s="28"/>
      <c r="O969" s="29"/>
    </row>
    <row r="970">
      <c r="I970" s="27"/>
      <c r="J970" s="27"/>
      <c r="K970" s="27"/>
      <c r="L970" s="27"/>
      <c r="M970" s="28"/>
      <c r="N970" s="28"/>
      <c r="O970" s="29"/>
    </row>
    <row r="971">
      <c r="I971" s="27"/>
      <c r="J971" s="27"/>
      <c r="K971" s="27"/>
      <c r="L971" s="27"/>
      <c r="M971" s="28"/>
      <c r="N971" s="28"/>
      <c r="O971" s="29"/>
    </row>
    <row r="972">
      <c r="I972" s="27"/>
      <c r="J972" s="27"/>
      <c r="K972" s="27"/>
      <c r="L972" s="27"/>
      <c r="M972" s="28"/>
      <c r="N972" s="28"/>
      <c r="O972" s="29"/>
    </row>
    <row r="973">
      <c r="I973" s="27"/>
      <c r="J973" s="27"/>
      <c r="K973" s="27"/>
      <c r="L973" s="27"/>
      <c r="M973" s="28"/>
      <c r="N973" s="28"/>
      <c r="O973" s="29"/>
    </row>
    <row r="974">
      <c r="I974" s="27"/>
      <c r="J974" s="27"/>
      <c r="K974" s="27"/>
      <c r="L974" s="27"/>
      <c r="M974" s="28"/>
      <c r="N974" s="28"/>
      <c r="O974" s="29"/>
    </row>
    <row r="975">
      <c r="I975" s="27"/>
      <c r="J975" s="27"/>
      <c r="K975" s="27"/>
      <c r="L975" s="27"/>
      <c r="M975" s="28"/>
      <c r="N975" s="28"/>
      <c r="O975" s="29"/>
    </row>
    <row r="976">
      <c r="I976" s="27"/>
      <c r="J976" s="27"/>
      <c r="K976" s="27"/>
      <c r="L976" s="27"/>
      <c r="M976" s="28"/>
      <c r="N976" s="28"/>
      <c r="O976" s="29"/>
    </row>
    <row r="977">
      <c r="I977" s="27"/>
      <c r="J977" s="27"/>
      <c r="K977" s="27"/>
      <c r="L977" s="27"/>
      <c r="M977" s="28"/>
      <c r="N977" s="28"/>
      <c r="O977" s="29"/>
    </row>
    <row r="978">
      <c r="I978" s="27"/>
      <c r="J978" s="27"/>
      <c r="K978" s="27"/>
      <c r="L978" s="27"/>
      <c r="M978" s="28"/>
      <c r="N978" s="28"/>
      <c r="O978" s="29"/>
    </row>
    <row r="979">
      <c r="I979" s="27"/>
      <c r="J979" s="27"/>
      <c r="K979" s="27"/>
      <c r="L979" s="27"/>
      <c r="M979" s="28"/>
      <c r="N979" s="28"/>
      <c r="O979" s="29"/>
    </row>
    <row r="980">
      <c r="I980" s="27"/>
      <c r="J980" s="27"/>
      <c r="K980" s="27"/>
      <c r="L980" s="27"/>
      <c r="M980" s="28"/>
      <c r="N980" s="28"/>
      <c r="O980" s="29"/>
    </row>
    <row r="981">
      <c r="I981" s="27"/>
      <c r="J981" s="27"/>
      <c r="K981" s="27"/>
      <c r="L981" s="27"/>
      <c r="M981" s="28"/>
      <c r="N981" s="28"/>
      <c r="O981" s="29"/>
    </row>
    <row r="982">
      <c r="I982" s="27"/>
      <c r="J982" s="27"/>
      <c r="K982" s="27"/>
      <c r="L982" s="27"/>
      <c r="M982" s="28"/>
      <c r="N982" s="28"/>
      <c r="O982" s="29"/>
    </row>
    <row r="983">
      <c r="I983" s="27"/>
      <c r="J983" s="27"/>
      <c r="K983" s="27"/>
      <c r="L983" s="27"/>
      <c r="M983" s="28"/>
      <c r="N983" s="28"/>
      <c r="O983" s="29"/>
    </row>
    <row r="984">
      <c r="I984" s="27"/>
      <c r="J984" s="27"/>
      <c r="K984" s="27"/>
      <c r="L984" s="27"/>
      <c r="M984" s="28"/>
      <c r="N984" s="28"/>
      <c r="O984" s="29"/>
    </row>
    <row r="985">
      <c r="I985" s="27"/>
      <c r="J985" s="27"/>
      <c r="K985" s="27"/>
      <c r="L985" s="27"/>
      <c r="M985" s="28"/>
      <c r="N985" s="28"/>
      <c r="O985" s="29"/>
    </row>
    <row r="986">
      <c r="I986" s="27"/>
      <c r="J986" s="27"/>
      <c r="K986" s="27"/>
      <c r="L986" s="27"/>
      <c r="M986" s="28"/>
      <c r="N986" s="28"/>
      <c r="O986" s="29"/>
    </row>
    <row r="987">
      <c r="I987" s="27"/>
      <c r="J987" s="27"/>
      <c r="K987" s="27"/>
      <c r="L987" s="27"/>
      <c r="M987" s="28"/>
      <c r="N987" s="28"/>
      <c r="O987" s="29"/>
    </row>
    <row r="988">
      <c r="I988" s="27"/>
      <c r="J988" s="27"/>
      <c r="K988" s="27"/>
      <c r="L988" s="27"/>
      <c r="M988" s="28"/>
      <c r="N988" s="28"/>
      <c r="O988" s="29"/>
    </row>
    <row r="989">
      <c r="I989" s="27"/>
      <c r="J989" s="27"/>
      <c r="K989" s="27"/>
      <c r="L989" s="27"/>
      <c r="M989" s="28"/>
      <c r="N989" s="28"/>
      <c r="O989" s="29"/>
    </row>
    <row r="990">
      <c r="I990" s="27"/>
      <c r="J990" s="27"/>
      <c r="K990" s="27"/>
      <c r="L990" s="27"/>
      <c r="M990" s="28"/>
      <c r="N990" s="28"/>
      <c r="O990" s="29"/>
    </row>
    <row r="991">
      <c r="I991" s="27"/>
      <c r="J991" s="27"/>
      <c r="K991" s="27"/>
      <c r="L991" s="27"/>
      <c r="M991" s="28"/>
      <c r="N991" s="28"/>
      <c r="O991" s="29"/>
    </row>
    <row r="992">
      <c r="I992" s="27"/>
      <c r="J992" s="27"/>
      <c r="K992" s="27"/>
      <c r="L992" s="27"/>
      <c r="M992" s="28"/>
      <c r="N992" s="28"/>
      <c r="O992" s="29"/>
    </row>
    <row r="993">
      <c r="I993" s="27"/>
      <c r="J993" s="27"/>
      <c r="K993" s="27"/>
      <c r="L993" s="27"/>
      <c r="M993" s="28"/>
      <c r="N993" s="28"/>
      <c r="O993" s="29"/>
    </row>
    <row r="994">
      <c r="I994" s="27"/>
      <c r="J994" s="27"/>
      <c r="K994" s="27"/>
      <c r="L994" s="27"/>
      <c r="M994" s="28"/>
      <c r="N994" s="28"/>
      <c r="O994" s="29"/>
    </row>
    <row r="995">
      <c r="I995" s="27"/>
      <c r="J995" s="27"/>
      <c r="K995" s="27"/>
      <c r="L995" s="27"/>
      <c r="M995" s="28"/>
      <c r="N995" s="28"/>
      <c r="O995" s="29"/>
    </row>
    <row r="996">
      <c r="I996" s="27"/>
      <c r="J996" s="27"/>
      <c r="K996" s="27"/>
      <c r="L996" s="27"/>
      <c r="M996" s="28"/>
      <c r="N996" s="28"/>
      <c r="O996" s="29"/>
    </row>
    <row r="997">
      <c r="I997" s="27"/>
      <c r="J997" s="27"/>
      <c r="K997" s="27"/>
      <c r="L997" s="27"/>
      <c r="M997" s="28"/>
      <c r="N997" s="28"/>
      <c r="O997" s="29"/>
    </row>
    <row r="998">
      <c r="I998" s="27"/>
      <c r="J998" s="27"/>
      <c r="K998" s="27"/>
      <c r="L998" s="27"/>
      <c r="M998" s="28"/>
      <c r="N998" s="28"/>
      <c r="O998" s="29"/>
    </row>
    <row r="999">
      <c r="I999" s="27"/>
      <c r="J999" s="27"/>
      <c r="K999" s="27"/>
      <c r="L999" s="27"/>
      <c r="M999" s="28"/>
      <c r="N999" s="28"/>
      <c r="O999" s="29"/>
    </row>
    <row r="1000">
      <c r="I1000" s="27"/>
      <c r="J1000" s="27"/>
      <c r="K1000" s="27"/>
      <c r="L1000" s="27"/>
      <c r="M1000" s="28"/>
      <c r="N1000" s="28"/>
      <c r="O1000" s="29"/>
    </row>
  </sheetData>
  <drawing r:id="rId2"/>
</worksheet>
</file>